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wsSortMap1.xml" ContentType="application/vnd.ms-excel.wsSortMap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ora\Documents\GitHub\AI_Trade\excel\"/>
    </mc:Choice>
  </mc:AlternateContent>
  <xr:revisionPtr revIDLastSave="0" documentId="13_ncr:1_{F8A0A0A8-8938-4987-ABEB-715A17530F3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  <sheet name="Sayfa3" sheetId="3" r:id="rId2"/>
    <sheet name="Sayfa4" sheetId="4" r:id="rId3"/>
  </sheets>
  <calcPr calcId="191029"/>
  <customWorkbookViews>
    <customWorkbookView name="Windows User - Kişisel Görünüm" guid="{02FE90F7-7852-43AF-A2AC-9192597C7D66}" mergeInterval="0" personalView="1" maximized="1" windowWidth="1223" windowHeight="455" activeSheetId="1"/>
    <customWorkbookView name="Bora - Kişisel Görünüm" guid="{05B5E080-9ABA-4416-B4A2-DFCA001314B3}" mergeInterval="0" personalView="1" maximized="1" xWindow="-8" yWindow="-8" windowWidth="1936" windowHeight="1048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4" l="1"/>
  <c r="F3" i="4" s="1"/>
  <c r="H3" i="4" s="1"/>
  <c r="E2" i="4"/>
  <c r="F2" i="4" s="1"/>
  <c r="H2" i="4" s="1"/>
  <c r="R2" i="4"/>
  <c r="J2" i="4" l="1"/>
  <c r="D72" i="3"/>
  <c r="D67" i="3"/>
  <c r="D62" i="3"/>
  <c r="D52" i="3"/>
  <c r="D42" i="3"/>
  <c r="D37" i="3"/>
  <c r="D41" i="3"/>
  <c r="D8" i="3"/>
  <c r="D9" i="3"/>
  <c r="D10" i="3"/>
  <c r="D11" i="3"/>
  <c r="D12" i="3"/>
  <c r="D13" i="3"/>
  <c r="D14" i="3"/>
  <c r="D47" i="3"/>
  <c r="D45" i="3"/>
  <c r="D40" i="3"/>
  <c r="D32" i="3"/>
  <c r="D27" i="3"/>
  <c r="D22" i="3"/>
  <c r="D17" i="3"/>
  <c r="C7" i="3"/>
  <c r="D7" i="3" s="1"/>
  <c r="R4" i="4" l="1"/>
  <c r="S4" i="4" s="1"/>
  <c r="U4" i="4" s="1"/>
  <c r="R3" i="4"/>
  <c r="S2" i="4"/>
  <c r="U2" i="4" s="1"/>
  <c r="D35" i="3"/>
  <c r="D36" i="3"/>
  <c r="E37" i="3"/>
  <c r="D38" i="3"/>
  <c r="D39" i="3"/>
  <c r="E42" i="3"/>
  <c r="D43" i="3"/>
  <c r="D44" i="3"/>
  <c r="D46" i="3"/>
  <c r="E47" i="3"/>
  <c r="D48" i="3"/>
  <c r="D49" i="3"/>
  <c r="D50" i="3"/>
  <c r="D51" i="3"/>
  <c r="E52" i="3"/>
  <c r="D53" i="3"/>
  <c r="D54" i="3"/>
  <c r="D55" i="3"/>
  <c r="D56" i="3"/>
  <c r="D57" i="3"/>
  <c r="E57" i="3" s="1"/>
  <c r="D58" i="3"/>
  <c r="D59" i="3"/>
  <c r="D60" i="3"/>
  <c r="D61" i="3"/>
  <c r="E62" i="3"/>
  <c r="D63" i="3"/>
  <c r="D64" i="3"/>
  <c r="D65" i="3"/>
  <c r="D66" i="3"/>
  <c r="E67" i="3"/>
  <c r="D68" i="3"/>
  <c r="D69" i="3"/>
  <c r="D70" i="3"/>
  <c r="D71" i="3"/>
  <c r="E72" i="3"/>
  <c r="D73" i="3"/>
  <c r="D74" i="3"/>
  <c r="D75" i="3"/>
  <c r="D76" i="3"/>
  <c r="D77" i="3"/>
  <c r="E77" i="3" s="1"/>
  <c r="D78" i="3"/>
  <c r="D79" i="3"/>
  <c r="D80" i="3"/>
  <c r="D81" i="3"/>
  <c r="D82" i="3"/>
  <c r="E82" i="3" s="1"/>
  <c r="D83" i="3"/>
  <c r="D84" i="3"/>
  <c r="D85" i="3"/>
  <c r="D86" i="3"/>
  <c r="D87" i="3"/>
  <c r="E87" i="3" s="1"/>
  <c r="D88" i="3"/>
  <c r="D89" i="3"/>
  <c r="D90" i="3"/>
  <c r="D91" i="3"/>
  <c r="D92" i="3"/>
  <c r="E92" i="3" s="1"/>
  <c r="D93" i="3"/>
  <c r="D94" i="3"/>
  <c r="D95" i="3"/>
  <c r="D96" i="3"/>
  <c r="D97" i="3"/>
  <c r="E97" i="3" s="1"/>
  <c r="D98" i="3"/>
  <c r="D99" i="3"/>
  <c r="D100" i="3"/>
  <c r="D101" i="3"/>
  <c r="D102" i="3"/>
  <c r="E102" i="3" s="1"/>
  <c r="D103" i="3"/>
  <c r="D104" i="3"/>
  <c r="D105" i="3"/>
  <c r="D106" i="3"/>
  <c r="D107" i="3"/>
  <c r="E107" i="3" s="1"/>
  <c r="D108" i="3"/>
  <c r="D109" i="3"/>
  <c r="D110" i="3"/>
  <c r="D111" i="3"/>
  <c r="D112" i="3"/>
  <c r="E112" i="3" s="1"/>
  <c r="D113" i="3"/>
  <c r="D114" i="3"/>
  <c r="D115" i="3"/>
  <c r="D116" i="3"/>
  <c r="D117" i="3"/>
  <c r="E117" i="3" s="1"/>
  <c r="D118" i="3"/>
  <c r="D119" i="3"/>
  <c r="D120" i="3"/>
  <c r="D121" i="3"/>
  <c r="D122" i="3"/>
  <c r="E122" i="3" s="1"/>
  <c r="D123" i="3"/>
  <c r="D124" i="3"/>
  <c r="D125" i="3"/>
  <c r="D126" i="3"/>
  <c r="D127" i="3"/>
  <c r="E127" i="3" s="1"/>
  <c r="D128" i="3"/>
  <c r="D129" i="3"/>
  <c r="D130" i="3"/>
  <c r="D131" i="3"/>
  <c r="D132" i="3"/>
  <c r="E132" i="3" s="1"/>
  <c r="D133" i="3"/>
  <c r="D134" i="3"/>
  <c r="D135" i="3"/>
  <c r="D136" i="3"/>
  <c r="D137" i="3"/>
  <c r="E137" i="3" s="1"/>
  <c r="D138" i="3"/>
  <c r="D139" i="3"/>
  <c r="D140" i="3"/>
  <c r="D141" i="3"/>
  <c r="D142" i="3"/>
  <c r="E142" i="3" s="1"/>
  <c r="D143" i="3"/>
  <c r="D144" i="3"/>
  <c r="D145" i="3"/>
  <c r="D146" i="3"/>
  <c r="D147" i="3"/>
  <c r="E147" i="3" s="1"/>
  <c r="D148" i="3"/>
  <c r="D149" i="3"/>
  <c r="D150" i="3"/>
  <c r="D151" i="3"/>
  <c r="D152" i="3"/>
  <c r="E152" i="3" s="1"/>
  <c r="D153" i="3"/>
  <c r="D154" i="3"/>
  <c r="D155" i="3"/>
  <c r="D156" i="3"/>
  <c r="D157" i="3"/>
  <c r="E157" i="3" s="1"/>
  <c r="D158" i="3"/>
  <c r="D159" i="3"/>
  <c r="E12" i="3"/>
  <c r="D15" i="3"/>
  <c r="D16" i="3"/>
  <c r="E17" i="3"/>
  <c r="D18" i="3"/>
  <c r="D19" i="3"/>
  <c r="D20" i="3"/>
  <c r="D21" i="3"/>
  <c r="E22" i="3"/>
  <c r="D23" i="3"/>
  <c r="D24" i="3"/>
  <c r="D25" i="3"/>
  <c r="D26" i="3"/>
  <c r="E27" i="3"/>
  <c r="D28" i="3"/>
  <c r="D29" i="3"/>
  <c r="D30" i="3"/>
  <c r="D31" i="3"/>
  <c r="E32" i="3"/>
  <c r="D33" i="3"/>
  <c r="D34" i="3"/>
  <c r="E7" i="3"/>
  <c r="S3" i="4" l="1"/>
  <c r="G7" i="3"/>
  <c r="U3" i="4" l="1"/>
  <c r="W2" i="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0FA5676-05FA-46D9-99A1-4EB9402423F9}" keepAlive="1" name="Sorgu - Tablo1" description="Çalışma kitabındaki 'Tablo1' sorgusuna yönelik bağlantı." type="5" refreshedVersion="0" background="1">
    <dbPr connection="Provider=Microsoft.Mashup.OleDb.1;Data Source=$Workbook$;Location=Tablo1;Extended Properties=&quot;&quot;" command="SELECT * FROM [Tablo1]"/>
  </connection>
</connections>
</file>

<file path=xl/sharedStrings.xml><?xml version="1.0" encoding="utf-8"?>
<sst xmlns="http://schemas.openxmlformats.org/spreadsheetml/2006/main" count="10315" uniqueCount="4120">
  <si>
    <t>Kod</t>
  </si>
  <si>
    <t>Son.Fyt</t>
  </si>
  <si>
    <t>Hcm</t>
  </si>
  <si>
    <t>Frk%</t>
  </si>
  <si>
    <t>AEFES</t>
  </si>
  <si>
    <t>AKBNK</t>
  </si>
  <si>
    <t>AKCNS</t>
  </si>
  <si>
    <t>AKFGY</t>
  </si>
  <si>
    <t>AKSA</t>
  </si>
  <si>
    <t>AKSEN</t>
  </si>
  <si>
    <t>ALARK</t>
  </si>
  <si>
    <t>ALBRK</t>
  </si>
  <si>
    <t>ANSGR</t>
  </si>
  <si>
    <t>ARCLK</t>
  </si>
  <si>
    <t>ASELS</t>
  </si>
  <si>
    <t>BFREN</t>
  </si>
  <si>
    <t>BIMAS</t>
  </si>
  <si>
    <t>BRSAN</t>
  </si>
  <si>
    <t>BRYAT</t>
  </si>
  <si>
    <t>BTCIM</t>
  </si>
  <si>
    <t>CCOLA</t>
  </si>
  <si>
    <t>CIMSA</t>
  </si>
  <si>
    <t>CLEBI</t>
  </si>
  <si>
    <t>CMBTN</t>
  </si>
  <si>
    <t>COSMO</t>
  </si>
  <si>
    <t>CRDFA</t>
  </si>
  <si>
    <t>CRFSA</t>
  </si>
  <si>
    <t>DAGI</t>
  </si>
  <si>
    <t>DARDL</t>
  </si>
  <si>
    <t>DENGE</t>
  </si>
  <si>
    <t>DESA</t>
  </si>
  <si>
    <t>DESPC</t>
  </si>
  <si>
    <t>DEVA</t>
  </si>
  <si>
    <t>DGATE</t>
  </si>
  <si>
    <t>DGGYO</t>
  </si>
  <si>
    <t>DITAS</t>
  </si>
  <si>
    <t>DMSAS</t>
  </si>
  <si>
    <t>DOAS</t>
  </si>
  <si>
    <t>DOBUR</t>
  </si>
  <si>
    <t>DOCO</t>
  </si>
  <si>
    <t>DOGUB</t>
  </si>
  <si>
    <t>DOHOL</t>
  </si>
  <si>
    <t>DURDO</t>
  </si>
  <si>
    <t>DYOBY</t>
  </si>
  <si>
    <t>DZGYO</t>
  </si>
  <si>
    <t>ECILC</t>
  </si>
  <si>
    <t>ECZYT</t>
  </si>
  <si>
    <t>EDIP</t>
  </si>
  <si>
    <t>EGEEN</t>
  </si>
  <si>
    <t>EGGUB</t>
  </si>
  <si>
    <t>EGPRO</t>
  </si>
  <si>
    <t>EGSER</t>
  </si>
  <si>
    <t>EKGYO</t>
  </si>
  <si>
    <t>EMKEL</t>
  </si>
  <si>
    <t>ENKAI</t>
  </si>
  <si>
    <t>EPLAS</t>
  </si>
  <si>
    <t>ERBOS</t>
  </si>
  <si>
    <t>EREGL</t>
  </si>
  <si>
    <t>ERSU</t>
  </si>
  <si>
    <t>ESCOM</t>
  </si>
  <si>
    <t>ETILR</t>
  </si>
  <si>
    <t>EUHOL</t>
  </si>
  <si>
    <t>FENER</t>
  </si>
  <si>
    <t>FLAP</t>
  </si>
  <si>
    <t>FMIZP</t>
  </si>
  <si>
    <t>FRIGO</t>
  </si>
  <si>
    <t>FROTO</t>
  </si>
  <si>
    <t>GARAN</t>
  </si>
  <si>
    <t>GARFA</t>
  </si>
  <si>
    <t>GEDIK</t>
  </si>
  <si>
    <t>GEDZA</t>
  </si>
  <si>
    <t>GENTS</t>
  </si>
  <si>
    <t>GEREL</t>
  </si>
  <si>
    <t>GLBMD</t>
  </si>
  <si>
    <t>GLRYH</t>
  </si>
  <si>
    <t>GLYHO</t>
  </si>
  <si>
    <t>GOLTS</t>
  </si>
  <si>
    <t>GOODY</t>
  </si>
  <si>
    <t>GOZDE</t>
  </si>
  <si>
    <t>GRNYO</t>
  </si>
  <si>
    <t>GSDDE</t>
  </si>
  <si>
    <t>GSDHO</t>
  </si>
  <si>
    <t>GSRAY</t>
  </si>
  <si>
    <t>GUBRF</t>
  </si>
  <si>
    <t>HALKB</t>
  </si>
  <si>
    <t>HATEK</t>
  </si>
  <si>
    <t>HDFGS</t>
  </si>
  <si>
    <t>HEKTS</t>
  </si>
  <si>
    <t>HLGYO</t>
  </si>
  <si>
    <t>HURGZ</t>
  </si>
  <si>
    <t>IEYHO</t>
  </si>
  <si>
    <t>IHEVA</t>
  </si>
  <si>
    <t>IHGZT</t>
  </si>
  <si>
    <t>IHLAS</t>
  </si>
  <si>
    <t>IHYAY</t>
  </si>
  <si>
    <t>INDES</t>
  </si>
  <si>
    <t>INFO</t>
  </si>
  <si>
    <t>INTEM</t>
  </si>
  <si>
    <t>IPEKE</t>
  </si>
  <si>
    <t>ISCTR</t>
  </si>
  <si>
    <t>ISFIN</t>
  </si>
  <si>
    <t>ISGSY</t>
  </si>
  <si>
    <t>ISGYO</t>
  </si>
  <si>
    <t>ISMEN</t>
  </si>
  <si>
    <t>ISYAT</t>
  </si>
  <si>
    <t>IZFAS</t>
  </si>
  <si>
    <t>IZMDC</t>
  </si>
  <si>
    <t>JANTS</t>
  </si>
  <si>
    <t>KAPLM</t>
  </si>
  <si>
    <t>KAREL</t>
  </si>
  <si>
    <t>KARSN</t>
  </si>
  <si>
    <t>KARTN</t>
  </si>
  <si>
    <t>KATMR</t>
  </si>
  <si>
    <t>KCHOL</t>
  </si>
  <si>
    <t>KERVT</t>
  </si>
  <si>
    <t>KLGYO</t>
  </si>
  <si>
    <t>KLMSN</t>
  </si>
  <si>
    <t>KNFRT</t>
  </si>
  <si>
    <t>KONYA</t>
  </si>
  <si>
    <t>KORDS</t>
  </si>
  <si>
    <t>KOZAA</t>
  </si>
  <si>
    <t>KOZAL</t>
  </si>
  <si>
    <t>KRDMA</t>
  </si>
  <si>
    <t>KRDMB</t>
  </si>
  <si>
    <t>KRDMD</t>
  </si>
  <si>
    <t>KRGYO</t>
  </si>
  <si>
    <t>KRONT</t>
  </si>
  <si>
    <t>KRSTL</t>
  </si>
  <si>
    <t>KRTEK</t>
  </si>
  <si>
    <t>KUTPO</t>
  </si>
  <si>
    <t>KUYAS</t>
  </si>
  <si>
    <t>LIDFA</t>
  </si>
  <si>
    <t>LINK</t>
  </si>
  <si>
    <t>LKMNH</t>
  </si>
  <si>
    <t>LOGO</t>
  </si>
  <si>
    <t>LUKSK</t>
  </si>
  <si>
    <t>MAALT</t>
  </si>
  <si>
    <t>MAKTK</t>
  </si>
  <si>
    <t>MARTI</t>
  </si>
  <si>
    <t>MEGAP</t>
  </si>
  <si>
    <t>MEPET</t>
  </si>
  <si>
    <t>MERIT</t>
  </si>
  <si>
    <t>MERKO</t>
  </si>
  <si>
    <t>METRO</t>
  </si>
  <si>
    <t>METUR</t>
  </si>
  <si>
    <t>MGROS</t>
  </si>
  <si>
    <t>MIPAZ</t>
  </si>
  <si>
    <t>MNDRS</t>
  </si>
  <si>
    <t>MRGYO</t>
  </si>
  <si>
    <t>MRSHL</t>
  </si>
  <si>
    <t>MZHLD</t>
  </si>
  <si>
    <t>NETAS</t>
  </si>
  <si>
    <t>NIBAS</t>
  </si>
  <si>
    <t>NTHOL</t>
  </si>
  <si>
    <t>NUGYO</t>
  </si>
  <si>
    <t>NUHCM</t>
  </si>
  <si>
    <t>ODAS</t>
  </si>
  <si>
    <t>ORGE</t>
  </si>
  <si>
    <t>OSMEN</t>
  </si>
  <si>
    <t>OSTIM</t>
  </si>
  <si>
    <t>OTKAR</t>
  </si>
  <si>
    <t>OYLUM</t>
  </si>
  <si>
    <t>OZGYO</t>
  </si>
  <si>
    <t>OZKGY</t>
  </si>
  <si>
    <t>OZRDN</t>
  </si>
  <si>
    <t>PAGYO</t>
  </si>
  <si>
    <t>PARSN</t>
  </si>
  <si>
    <t>PEGYO</t>
  </si>
  <si>
    <t>PENGD</t>
  </si>
  <si>
    <t>PETKM</t>
  </si>
  <si>
    <t>PETUN</t>
  </si>
  <si>
    <t>PGSUS</t>
  </si>
  <si>
    <t>PINSU</t>
  </si>
  <si>
    <t>PKART</t>
  </si>
  <si>
    <t>PKENT</t>
  </si>
  <si>
    <t>PNSUT</t>
  </si>
  <si>
    <t>POLHO</t>
  </si>
  <si>
    <t>POLTK</t>
  </si>
  <si>
    <t>PRKAB</t>
  </si>
  <si>
    <t>PRKME</t>
  </si>
  <si>
    <t>PRZMA</t>
  </si>
  <si>
    <t>PSDTC</t>
  </si>
  <si>
    <t>RAYSG</t>
  </si>
  <si>
    <t>RTALB</t>
  </si>
  <si>
    <t>RYGYO</t>
  </si>
  <si>
    <t>RYSAS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</si>
  <si>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</si>
  <si>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</si>
  <si>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</si>
  <si>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</si>
  <si>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</si>
  <si>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</si>
  <si>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</si>
  <si>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</si>
  <si>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SEKFK</t>
  </si>
  <si>
    <t>SEKUR</t>
  </si>
  <si>
    <t>SELEC</t>
  </si>
  <si>
    <t>SELGD</t>
  </si>
  <si>
    <t>SEYKM</t>
  </si>
  <si>
    <t>SILVR</t>
  </si>
  <si>
    <t>SISE</t>
  </si>
  <si>
    <t>SKBNK</t>
  </si>
  <si>
    <t>SKTAS</t>
  </si>
  <si>
    <t>SNGYO</t>
  </si>
  <si>
    <t>SRVGY</t>
  </si>
  <si>
    <t>TATGD</t>
  </si>
  <si>
    <t>TAVHL</t>
  </si>
  <si>
    <t>TCELL</t>
  </si>
  <si>
    <t>TEKTU</t>
  </si>
  <si>
    <t>THYAO</t>
  </si>
  <si>
    <t>TKFEN</t>
  </si>
  <si>
    <t>TKNSA</t>
  </si>
  <si>
    <t>TMPOL</t>
  </si>
  <si>
    <t>TMSN</t>
  </si>
  <si>
    <t>TOASO</t>
  </si>
  <si>
    <t>TRCAS</t>
  </si>
  <si>
    <t>TRGYO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</si>
  <si>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</si>
  <si>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</si>
  <si>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</si>
  <si>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</si>
  <si>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</si>
  <si>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</si>
  <si>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</si>
  <si>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</si>
  <si>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TURGG</t>
  </si>
  <si>
    <t>ULAS</t>
  </si>
  <si>
    <t>ULKER</t>
  </si>
  <si>
    <t>ULUSE</t>
  </si>
  <si>
    <t>ULUUN</t>
  </si>
  <si>
    <t>USAK</t>
  </si>
  <si>
    <t>VAKBN</t>
  </si>
  <si>
    <t>VAKFN</t>
  </si>
  <si>
    <t>VAKKO</t>
  </si>
  <si>
    <t>VANGD</t>
  </si>
  <si>
    <t>VERTU</t>
  </si>
  <si>
    <t>VERUS</t>
  </si>
  <si>
    <t>VESBE</t>
  </si>
  <si>
    <t>VESTL</t>
  </si>
  <si>
    <t>VKFYO</t>
  </si>
  <si>
    <t>VKGYO</t>
  </si>
  <si>
    <t>VKING</t>
  </si>
  <si>
    <t>YAPRK</t>
  </si>
  <si>
    <t>YATAS</t>
  </si>
  <si>
    <t>YESIL</t>
  </si>
  <si>
    <t>YGGYO</t>
  </si>
  <si>
    <t>YGYO</t>
  </si>
  <si>
    <t>YKBNK</t>
  </si>
  <si>
    <t>YUNSA</t>
  </si>
  <si>
    <t>YYAPI</t>
  </si>
  <si>
    <t>ZOREN</t>
  </si>
  <si>
    <t>AGROT</t>
  </si>
  <si>
    <t>AHGAZ</t>
  </si>
  <si>
    <t>AKFYE</t>
  </si>
  <si>
    <t>ALFAS</t>
  </si>
  <si>
    <t>ASTOR</t>
  </si>
  <si>
    <t>BERA</t>
  </si>
  <si>
    <t>BIENY</t>
  </si>
  <si>
    <t>BIOEN</t>
  </si>
  <si>
    <t>BOBET</t>
  </si>
  <si>
    <t>CANTE</t>
  </si>
  <si>
    <t>CONSE</t>
  </si>
  <si>
    <t>CUSAN</t>
  </si>
  <si>
    <t>CVKMD</t>
  </si>
  <si>
    <t>CWENE</t>
  </si>
  <si>
    <t>DAPGM</t>
  </si>
  <si>
    <t>DERHL</t>
  </si>
  <si>
    <t>DGNMO</t>
  </si>
  <si>
    <t>DMRGD</t>
  </si>
  <si>
    <t>DNISI</t>
  </si>
  <si>
    <t>DOFER</t>
  </si>
  <si>
    <t>DOKTA</t>
  </si>
  <si>
    <t>EBEBK</t>
  </si>
  <si>
    <t>EDATA</t>
  </si>
  <si>
    <t>EGEPO</t>
  </si>
  <si>
    <t>EKOS</t>
  </si>
  <si>
    <t>EKSUN</t>
  </si>
  <si>
    <t>ELITE</t>
  </si>
  <si>
    <t>ENERY</t>
  </si>
  <si>
    <t>ENJSA</t>
  </si>
  <si>
    <t>ENSRI</t>
  </si>
  <si>
    <t>ENTRA</t>
  </si>
  <si>
    <t>ERCB</t>
  </si>
  <si>
    <t>ESCAR</t>
  </si>
  <si>
    <t>ESEN</t>
  </si>
  <si>
    <t>EUPWR</t>
  </si>
  <si>
    <t>EUREN</t>
  </si>
  <si>
    <t>EYGYO</t>
  </si>
  <si>
    <t>FADE</t>
  </si>
  <si>
    <t>FONET</t>
  </si>
  <si>
    <t>FORMT</t>
  </si>
  <si>
    <t>FORTE</t>
  </si>
  <si>
    <t>FZLGY</t>
  </si>
  <si>
    <t>GENIL</t>
  </si>
  <si>
    <t>GESAN</t>
  </si>
  <si>
    <t>GIPTA</t>
  </si>
  <si>
    <t>GLCVY</t>
  </si>
  <si>
    <t>GMTAS</t>
  </si>
  <si>
    <t>GOKNR</t>
  </si>
  <si>
    <t>GRSEL</t>
  </si>
  <si>
    <t>GRTRK</t>
  </si>
  <si>
    <t>GWIND</t>
  </si>
  <si>
    <t>GZNMI</t>
  </si>
  <si>
    <t>HATSN</t>
  </si>
  <si>
    <t>HEDEF</t>
  </si>
  <si>
    <t>HKTM</t>
  </si>
  <si>
    <t>HTTBT</t>
  </si>
  <si>
    <t>HUBVC</t>
  </si>
  <si>
    <t>HUNER</t>
  </si>
  <si>
    <t>ICBCT</t>
  </si>
  <si>
    <t>ICUGS</t>
  </si>
  <si>
    <t>IHAAS</t>
  </si>
  <si>
    <t>IHLGM</t>
  </si>
  <si>
    <t>IMASM</t>
  </si>
  <si>
    <t>INGRM</t>
  </si>
  <si>
    <t>INVEO</t>
  </si>
  <si>
    <t>INVES</t>
  </si>
  <si>
    <t>ISDMR</t>
  </si>
  <si>
    <t>ISKPL</t>
  </si>
  <si>
    <t>ISSEN</t>
  </si>
  <si>
    <t>IZENR</t>
  </si>
  <si>
    <t>IZINV</t>
  </si>
  <si>
    <t>KARYE</t>
  </si>
  <si>
    <t>KAYSE</t>
  </si>
  <si>
    <t>KBORU</t>
  </si>
  <si>
    <t>KCAER</t>
  </si>
  <si>
    <t>KFEIN</t>
  </si>
  <si>
    <t>KIMMR</t>
  </si>
  <si>
    <t>KLKIM</t>
  </si>
  <si>
    <t>KLRHO</t>
  </si>
  <si>
    <t>KLSER</t>
  </si>
  <si>
    <t>KLSYN</t>
  </si>
  <si>
    <t>KMPUR</t>
  </si>
  <si>
    <t>KONKA</t>
  </si>
  <si>
    <t>KONTR</t>
  </si>
  <si>
    <t>KOPOL</t>
  </si>
  <si>
    <t>KRPLS</t>
  </si>
  <si>
    <t>KRVGD</t>
  </si>
  <si>
    <t>KTLEV</t>
  </si>
  <si>
    <t>KTSKR</t>
  </si>
  <si>
    <t>KZBGY</t>
  </si>
  <si>
    <t>KZGYO</t>
  </si>
  <si>
    <t>LIDER</t>
  </si>
  <si>
    <t>LMKDC</t>
  </si>
  <si>
    <t>LRSHO</t>
  </si>
  <si>
    <t>MACKO</t>
  </si>
  <si>
    <t>MAGEN</t>
  </si>
  <si>
    <t>MAKIM</t>
  </si>
  <si>
    <t>MANAS</t>
  </si>
  <si>
    <t>MARBL</t>
  </si>
  <si>
    <t>MAVI</t>
  </si>
  <si>
    <t>MEDTR</t>
  </si>
  <si>
    <t>MEGMT</t>
  </si>
  <si>
    <t>MEKAG</t>
  </si>
  <si>
    <t>MERCN</t>
  </si>
  <si>
    <t>MHRGY</t>
  </si>
  <si>
    <t>MIATK</t>
  </si>
  <si>
    <t>MNDTR</t>
  </si>
  <si>
    <t>MOBTL</t>
  </si>
  <si>
    <t>MOGAN</t>
  </si>
  <si>
    <t>MPARK</t>
  </si>
  <si>
    <t>MSGYO</t>
  </si>
  <si>
    <t>MTRKS</t>
  </si>
  <si>
    <t>NATEN</t>
  </si>
  <si>
    <t>NTGAZ</t>
  </si>
  <si>
    <t>OBAMS</t>
  </si>
  <si>
    <t>OBASE</t>
  </si>
  <si>
    <t>ODINE</t>
  </si>
  <si>
    <t>OFSYM</t>
  </si>
  <si>
    <t>ONCSM</t>
  </si>
  <si>
    <t>ORCAY</t>
  </si>
  <si>
    <t>OYAKC</t>
  </si>
  <si>
    <t>OYYAT</t>
  </si>
  <si>
    <t>OZSUB</t>
  </si>
  <si>
    <t>PAMEL</t>
  </si>
  <si>
    <t>PAPIL</t>
  </si>
  <si>
    <t>PASEU</t>
  </si>
  <si>
    <t>PATEK</t>
  </si>
  <si>
    <t>PCILT</t>
  </si>
  <si>
    <t>PEKGY</t>
  </si>
  <si>
    <t>PENTA</t>
  </si>
  <si>
    <t>PLTUR</t>
  </si>
  <si>
    <t>PNLSN</t>
  </si>
  <si>
    <t>PRDGS</t>
  </si>
  <si>
    <t>PSGYO</t>
  </si>
  <si>
    <t>QUAGR</t>
  </si>
  <si>
    <t>RALYH</t>
  </si>
  <si>
    <t>REEDR</t>
  </si>
  <si>
    <t>RNPOL</t>
  </si>
  <si>
    <t>RUBNS</t>
  </si>
  <si>
    <t>SAFKR</t>
  </si>
  <si>
    <t>SDTTR</t>
  </si>
  <si>
    <t>SEGYO</t>
  </si>
  <si>
    <t>SELVA</t>
  </si>
  <si>
    <t>SKYLP</t>
  </si>
  <si>
    <t>SKYMD</t>
  </si>
  <si>
    <t>SMART</t>
  </si>
  <si>
    <t>SMRTG</t>
  </si>
  <si>
    <t>SNICA</t>
  </si>
  <si>
    <t>SOKE</t>
  </si>
  <si>
    <t>SOKM</t>
  </si>
  <si>
    <t>SUNTK</t>
  </si>
  <si>
    <t>SURGY</t>
  </si>
  <si>
    <t>SUWEN</t>
  </si>
  <si>
    <t>TABGD</t>
  </si>
  <si>
    <t>TARKM</t>
  </si>
  <si>
    <t>TATEN</t>
  </si>
  <si>
    <t>TDGYO</t>
  </si>
  <si>
    <t>TERA</t>
  </si>
  <si>
    <t>TEZOL</t>
  </si>
  <si>
    <t>TLMAN</t>
  </si>
  <si>
    <t>TNZTP</t>
  </si>
  <si>
    <t>TRILC</t>
  </si>
  <si>
    <t>TUREX</t>
  </si>
  <si>
    <t>TURSG</t>
  </si>
  <si>
    <t>ULUFA</t>
  </si>
  <si>
    <t>UNLU</t>
  </si>
  <si>
    <t>VBTYZ</t>
  </si>
  <si>
    <t>VRGYO</t>
  </si>
  <si>
    <t>YEOTK</t>
  </si>
  <si>
    <t>YKSLN</t>
  </si>
  <si>
    <t>YYLGD</t>
  </si>
  <si>
    <t>ZEDUR</t>
  </si>
  <si>
    <t>ZRGYO</t>
  </si>
  <si>
    <t>10,00</t>
  </si>
  <si>
    <t>DAGHL</t>
  </si>
  <si>
    <t>DERIM</t>
  </si>
  <si>
    <t>ETYAT</t>
  </si>
  <si>
    <t>EUKYO</t>
  </si>
  <si>
    <t>EUYO</t>
  </si>
  <si>
    <t>IDEAS</t>
  </si>
  <si>
    <t>IDGYO</t>
  </si>
  <si>
    <t>ISATR</t>
  </si>
  <si>
    <t>ISBTR</t>
  </si>
  <si>
    <t>ISKUR</t>
  </si>
  <si>
    <t>ITTFH</t>
  </si>
  <si>
    <t>KGYO</t>
  </si>
  <si>
    <t>MARKA</t>
  </si>
  <si>
    <t>MTRYO</t>
  </si>
  <si>
    <t>OYAYO</t>
  </si>
  <si>
    <t>RODRG</t>
  </si>
  <si>
    <t>SONME</t>
  </si>
  <si>
    <t>TETMT</t>
  </si>
  <si>
    <t>TGSAS</t>
  </si>
  <si>
    <t>UFUK</t>
  </si>
  <si>
    <t>YAYLA</t>
  </si>
  <si>
    <t>Yks</t>
  </si>
  <si>
    <t>Dşk</t>
  </si>
  <si>
    <t>Lot</t>
  </si>
  <si>
    <t>21,10</t>
  </si>
  <si>
    <t>A1CAP</t>
  </si>
  <si>
    <t>ACSEL</t>
  </si>
  <si>
    <t>ADEL</t>
  </si>
  <si>
    <t>ADESE</t>
  </si>
  <si>
    <t>ADGYO</t>
  </si>
  <si>
    <t>AFYON</t>
  </si>
  <si>
    <t>AGESA</t>
  </si>
  <si>
    <t>AGHOL</t>
  </si>
  <si>
    <t>AGYO</t>
  </si>
  <si>
    <t>AKENR</t>
  </si>
  <si>
    <t>AKGRT</t>
  </si>
  <si>
    <t>AKMGY</t>
  </si>
  <si>
    <t>AKSGY</t>
  </si>
  <si>
    <t>AKSUE</t>
  </si>
  <si>
    <t>AKYHO</t>
  </si>
  <si>
    <t>ALCAR</t>
  </si>
  <si>
    <t>ALCTL</t>
  </si>
  <si>
    <t>ALGYO</t>
  </si>
  <si>
    <t>ALKA</t>
  </si>
  <si>
    <t>ALKIM</t>
  </si>
  <si>
    <t>ALMAD</t>
  </si>
  <si>
    <t>ALTNY</t>
  </si>
  <si>
    <t>ALVES</t>
  </si>
  <si>
    <t>ANELE</t>
  </si>
  <si>
    <t>ANGEN</t>
  </si>
  <si>
    <t>ANHYT</t>
  </si>
  <si>
    <t>ARASE</t>
  </si>
  <si>
    <t>70,00</t>
  </si>
  <si>
    <t>ARDYZ</t>
  </si>
  <si>
    <t>ARENA</t>
  </si>
  <si>
    <t>1,60</t>
  </si>
  <si>
    <t>ARSAN</t>
  </si>
  <si>
    <t>ARTMS</t>
  </si>
  <si>
    <t>ARZUM</t>
  </si>
  <si>
    <t>ASGYO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</si>
  <si>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</si>
  <si>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</si>
  <si>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</si>
  <si>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</si>
  <si>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</si>
  <si>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</si>
  <si>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</si>
  <si>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</si>
  <si>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40,10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</si>
  <si>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</si>
  <si>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</si>
  <si>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</si>
  <si>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</si>
  <si>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</si>
  <si>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</si>
  <si>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</si>
  <si>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</si>
  <si>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</si>
  <si>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BAKAB</t>
  </si>
  <si>
    <t>BANVT</t>
  </si>
  <si>
    <t>BARMA</t>
  </si>
  <si>
    <t>BASGZ</t>
  </si>
  <si>
    <t>BAYRK</t>
  </si>
  <si>
    <t>BEGYO</t>
  </si>
  <si>
    <t>BEYAZ</t>
  </si>
  <si>
    <t>BIGCH</t>
  </si>
  <si>
    <t>BINHO</t>
  </si>
  <si>
    <t>18,30</t>
  </si>
  <si>
    <t>BIZIM</t>
  </si>
  <si>
    <t>BJKAS</t>
  </si>
  <si>
    <t>BLCYT</t>
  </si>
  <si>
    <t>BMSCH</t>
  </si>
  <si>
    <t>25,40</t>
  </si>
  <si>
    <t>BMSTL</t>
  </si>
  <si>
    <t>BNTAS</t>
  </si>
  <si>
    <t>BORLS</t>
  </si>
  <si>
    <t>BORSK</t>
  </si>
  <si>
    <t>BOSSA</t>
  </si>
  <si>
    <t>BRISA</t>
  </si>
  <si>
    <t>BRKSN</t>
  </si>
  <si>
    <t>BRKVY</t>
  </si>
  <si>
    <t>BRLSM</t>
  </si>
  <si>
    <t>BSOKE</t>
  </si>
  <si>
    <t>BUCIM</t>
  </si>
  <si>
    <t>BURCE</t>
  </si>
  <si>
    <t>BURVA</t>
  </si>
  <si>
    <t>BVSAN</t>
  </si>
  <si>
    <t>BYDNR</t>
  </si>
  <si>
    <t>29,70</t>
  </si>
  <si>
    <t>CATES</t>
  </si>
  <si>
    <t>CELHA</t>
  </si>
  <si>
    <t>CEMAS</t>
  </si>
  <si>
    <t>CEMTS</t>
  </si>
  <si>
    <t>CEOEM</t>
  </si>
  <si>
    <t>8,08</t>
  </si>
  <si>
    <t>15,10</t>
  </si>
  <si>
    <t>39,00</t>
  </si>
  <si>
    <t>15,05</t>
  </si>
  <si>
    <t>21,20</t>
  </si>
  <si>
    <t>KOCMT</t>
  </si>
  <si>
    <t>KOTON</t>
  </si>
  <si>
    <t>28,10</t>
  </si>
  <si>
    <t>LILAK</t>
  </si>
  <si>
    <t>13,10</t>
  </si>
  <si>
    <t>7,94</t>
  </si>
  <si>
    <t>113,00</t>
  </si>
  <si>
    <t>RGYAS</t>
  </si>
  <si>
    <t>13,66</t>
  </si>
  <si>
    <t>1,37</t>
  </si>
  <si>
    <t>52,75</t>
  </si>
  <si>
    <t>50,30</t>
  </si>
  <si>
    <t>290,00</t>
  </si>
  <si>
    <t>4,00</t>
  </si>
  <si>
    <t>52,00</t>
  </si>
  <si>
    <t>65,00</t>
  </si>
  <si>
    <t>8,25</t>
  </si>
  <si>
    <t>40,00</t>
  </si>
  <si>
    <t>124,40</t>
  </si>
  <si>
    <t>36,60</t>
  </si>
  <si>
    <t>HRKET</t>
  </si>
  <si>
    <t>12,90</t>
  </si>
  <si>
    <t>ONRYT</t>
  </si>
  <si>
    <t>29,54</t>
  </si>
  <si>
    <t>8,42</t>
  </si>
  <si>
    <t>40,44</t>
  </si>
  <si>
    <t>3,80</t>
  </si>
  <si>
    <t>Kar</t>
  </si>
  <si>
    <t>Ağırlık</t>
  </si>
  <si>
    <t>Güncel Portföy</t>
  </si>
  <si>
    <t>27,94</t>
  </si>
  <si>
    <t>36,50</t>
  </si>
  <si>
    <t>21,00</t>
  </si>
  <si>
    <t>29,22</t>
  </si>
  <si>
    <t>14,49</t>
  </si>
  <si>
    <t>23,50</t>
  </si>
  <si>
    <t>36,76</t>
  </si>
  <si>
    <t>5,58</t>
  </si>
  <si>
    <t>5,67</t>
  </si>
  <si>
    <t>7,93</t>
  </si>
  <si>
    <t>3,62</t>
  </si>
  <si>
    <t>26,88</t>
  </si>
  <si>
    <t>13,05</t>
  </si>
  <si>
    <t>3,72</t>
  </si>
  <si>
    <t>29,60</t>
  </si>
  <si>
    <t>20,00</t>
  </si>
  <si>
    <t>43,40</t>
  </si>
  <si>
    <t>14,80</t>
  </si>
  <si>
    <t>29,08</t>
  </si>
  <si>
    <t>21,26</t>
  </si>
  <si>
    <t>2,28</t>
  </si>
  <si>
    <t>8,70</t>
  </si>
  <si>
    <t>67,40</t>
  </si>
  <si>
    <t>120,90</t>
  </si>
  <si>
    <t>87,50</t>
  </si>
  <si>
    <t>5,80</t>
  </si>
  <si>
    <t>8,24</t>
  </si>
  <si>
    <t>27,34</t>
  </si>
  <si>
    <t>26,86</t>
  </si>
  <si>
    <t>23,90</t>
  </si>
  <si>
    <t>29,00</t>
  </si>
  <si>
    <t>15,15</t>
  </si>
  <si>
    <t>55,00</t>
  </si>
  <si>
    <t>24,90</t>
  </si>
  <si>
    <t>24,96</t>
  </si>
  <si>
    <t>26,50</t>
  </si>
  <si>
    <t>14,54</t>
  </si>
  <si>
    <t>15,66</t>
  </si>
  <si>
    <t>60,10</t>
  </si>
  <si>
    <t>8,30</t>
  </si>
  <si>
    <t>2,08</t>
  </si>
  <si>
    <t>26,56</t>
  </si>
  <si>
    <t>27,48</t>
  </si>
  <si>
    <t>11,18</t>
  </si>
  <si>
    <t>6,66</t>
  </si>
  <si>
    <t>25,00</t>
  </si>
  <si>
    <t>6,00</t>
  </si>
  <si>
    <t>50,35</t>
  </si>
  <si>
    <t>8,29</t>
  </si>
  <si>
    <t>10,34</t>
  </si>
  <si>
    <t>OZYSR</t>
  </si>
  <si>
    <t>6,54</t>
  </si>
  <si>
    <t>14,30</t>
  </si>
  <si>
    <t>29,02</t>
  </si>
  <si>
    <t>28,80</t>
  </si>
  <si>
    <t>13,97</t>
  </si>
  <si>
    <t>27,08</t>
  </si>
  <si>
    <t>121,30</t>
  </si>
  <si>
    <t>12,38</t>
  </si>
  <si>
    <t>Açl.Gün</t>
  </si>
  <si>
    <t>19,72</t>
  </si>
  <si>
    <t>5,46</t>
  </si>
  <si>
    <t>5,55</t>
  </si>
  <si>
    <t>113,10</t>
  </si>
  <si>
    <t>24,02</t>
  </si>
  <si>
    <t>4,76</t>
  </si>
  <si>
    <t>10,35</t>
  </si>
  <si>
    <t>59,70</t>
  </si>
  <si>
    <t>27,90</t>
  </si>
  <si>
    <t>2,27</t>
  </si>
  <si>
    <t>7,36</t>
  </si>
  <si>
    <t>42,40</t>
  </si>
  <si>
    <t>86,50</t>
  </si>
  <si>
    <t>62,95</t>
  </si>
  <si>
    <t>60,15</t>
  </si>
  <si>
    <t>5,57</t>
  </si>
  <si>
    <t>8,20</t>
  </si>
  <si>
    <t>8,34</t>
  </si>
  <si>
    <t>34,04</t>
  </si>
  <si>
    <t>18,55</t>
  </si>
  <si>
    <t>20,72</t>
  </si>
  <si>
    <t>38,30</t>
  </si>
  <si>
    <t>29,18</t>
  </si>
  <si>
    <t>16,66</t>
  </si>
  <si>
    <t>3,71</t>
  </si>
  <si>
    <t>32,40</t>
  </si>
  <si>
    <t>16,89</t>
  </si>
  <si>
    <t>22,00</t>
  </si>
  <si>
    <t>4,84</t>
  </si>
  <si>
    <t>53,15</t>
  </si>
  <si>
    <t>24,20</t>
  </si>
  <si>
    <t>3,00</t>
  </si>
  <si>
    <t>60,30</t>
  </si>
  <si>
    <t>47,50</t>
  </si>
  <si>
    <t>13,95</t>
  </si>
  <si>
    <t>1,92</t>
  </si>
  <si>
    <t>2,97</t>
  </si>
  <si>
    <t>5,16</t>
  </si>
  <si>
    <t>20,80</t>
  </si>
  <si>
    <t>1,54</t>
  </si>
  <si>
    <t>14,50</t>
  </si>
  <si>
    <t>12,35</t>
  </si>
  <si>
    <t>11,75</t>
  </si>
  <si>
    <t>42,70</t>
  </si>
  <si>
    <t>3054963,00</t>
  </si>
  <si>
    <t>10,15</t>
  </si>
  <si>
    <t>9,99</t>
  </si>
  <si>
    <t>24,74</t>
  </si>
  <si>
    <t>51,30</t>
  </si>
  <si>
    <t>14,93</t>
  </si>
  <si>
    <t>2,09</t>
  </si>
  <si>
    <t>29,06</t>
  </si>
  <si>
    <t>5,81</t>
  </si>
  <si>
    <t>21,32</t>
  </si>
  <si>
    <t>7,90</t>
  </si>
  <si>
    <t>33,70</t>
  </si>
  <si>
    <t>8,35</t>
  </si>
  <si>
    <t>8,40</t>
  </si>
  <si>
    <t>4,28</t>
  </si>
  <si>
    <t>23,94</t>
  </si>
  <si>
    <t>14,57</t>
  </si>
  <si>
    <t>14,71</t>
  </si>
  <si>
    <t>4,72</t>
  </si>
  <si>
    <t>48,52</t>
  </si>
  <si>
    <t>7,96</t>
  </si>
  <si>
    <t>8,06</t>
  </si>
  <si>
    <t>65,80</t>
  </si>
  <si>
    <t>34,24</t>
  </si>
  <si>
    <t>118,20</t>
  </si>
  <si>
    <t>72,50</t>
  </si>
  <si>
    <t>5,99</t>
  </si>
  <si>
    <t>3,42</t>
  </si>
  <si>
    <t>32,56</t>
  </si>
  <si>
    <t>32,98</t>
  </si>
  <si>
    <t>305,50</t>
  </si>
  <si>
    <t>45,08</t>
  </si>
  <si>
    <t>25,12</t>
  </si>
  <si>
    <t>20,06</t>
  </si>
  <si>
    <t>2,18</t>
  </si>
  <si>
    <t>36,08</t>
  </si>
  <si>
    <t>79,95</t>
  </si>
  <si>
    <t>3,53</t>
  </si>
  <si>
    <t>36,98</t>
  </si>
  <si>
    <t>50,95</t>
  </si>
  <si>
    <t>2151,00</t>
  </si>
  <si>
    <t>4,70</t>
  </si>
  <si>
    <t>14,74</t>
  </si>
  <si>
    <t>4,20</t>
  </si>
  <si>
    <t>45,30</t>
  </si>
  <si>
    <t>4,78</t>
  </si>
  <si>
    <t>10,09</t>
  </si>
  <si>
    <t>30,82</t>
  </si>
  <si>
    <t>13,68</t>
  </si>
  <si>
    <t>3,70</t>
  </si>
  <si>
    <t>33,12</t>
  </si>
  <si>
    <t>36,42</t>
  </si>
  <si>
    <t>23,72</t>
  </si>
  <si>
    <t>4,90</t>
  </si>
  <si>
    <t>14,86</t>
  </si>
  <si>
    <t>595000,00</t>
  </si>
  <si>
    <t>102,60</t>
  </si>
  <si>
    <t>42,04</t>
  </si>
  <si>
    <t>82,25</t>
  </si>
  <si>
    <t>124,50</t>
  </si>
  <si>
    <t>116,40</t>
  </si>
  <si>
    <t>96,65</t>
  </si>
  <si>
    <t>Al.Fyt</t>
  </si>
  <si>
    <t>Sat.Fyt</t>
  </si>
  <si>
    <t>ÖncK</t>
  </si>
  <si>
    <t>Frk</t>
  </si>
  <si>
    <t>0,02</t>
  </si>
  <si>
    <t>0,07</t>
  </si>
  <si>
    <t>2,10</t>
  </si>
  <si>
    <t>0,05</t>
  </si>
  <si>
    <t>-0,34</t>
  </si>
  <si>
    <t>0,17</t>
  </si>
  <si>
    <t>1,95</t>
  </si>
  <si>
    <t>-0,30</t>
  </si>
  <si>
    <t>-0,45</t>
  </si>
  <si>
    <t>0,01</t>
  </si>
  <si>
    <t>26,18</t>
  </si>
  <si>
    <t>0,30</t>
  </si>
  <si>
    <t>1,16</t>
  </si>
  <si>
    <t>-0,10</t>
  </si>
  <si>
    <t>-0,08</t>
  </si>
  <si>
    <t>0,09</t>
  </si>
  <si>
    <t>-0,06</t>
  </si>
  <si>
    <t>0,19</t>
  </si>
  <si>
    <t>-0,18</t>
  </si>
  <si>
    <t>0,33</t>
  </si>
  <si>
    <t>-0,40</t>
  </si>
  <si>
    <t>0,10</t>
  </si>
  <si>
    <t>42,08</t>
  </si>
  <si>
    <t>-0,36</t>
  </si>
  <si>
    <t>-0,44</t>
  </si>
  <si>
    <t>-0,26</t>
  </si>
  <si>
    <t>0,50</t>
  </si>
  <si>
    <t>-0,66</t>
  </si>
  <si>
    <t>-0,11</t>
  </si>
  <si>
    <t>0,20</t>
  </si>
  <si>
    <t>0,18</t>
  </si>
  <si>
    <t>0,70</t>
  </si>
  <si>
    <t>1,10</t>
  </si>
  <si>
    <t>-1,20</t>
  </si>
  <si>
    <t>35,40</t>
  </si>
  <si>
    <t>39,16</t>
  </si>
  <si>
    <t>1,28</t>
  </si>
  <si>
    <t>-0,12</t>
  </si>
  <si>
    <t>-0,80</t>
  </si>
  <si>
    <t>2,90</t>
  </si>
  <si>
    <t>12,80</t>
  </si>
  <si>
    <t>-0,28</t>
  </si>
  <si>
    <t>10,10</t>
  </si>
  <si>
    <t>3,52</t>
  </si>
  <si>
    <t>0,03</t>
  </si>
  <si>
    <t>34,00</t>
  </si>
  <si>
    <t>0,06</t>
  </si>
  <si>
    <t>-0,60</t>
  </si>
  <si>
    <t>-0,32</t>
  </si>
  <si>
    <t>1,36</t>
  </si>
  <si>
    <t>1,09</t>
  </si>
  <si>
    <t>0,38</t>
  </si>
  <si>
    <t>1,38</t>
  </si>
  <si>
    <t>32,50</t>
  </si>
  <si>
    <t>-1,50</t>
  </si>
  <si>
    <t>-0,70</t>
  </si>
  <si>
    <t>-0,22</t>
  </si>
  <si>
    <t>-0,48</t>
  </si>
  <si>
    <t>0,08</t>
  </si>
  <si>
    <t>0,28</t>
  </si>
  <si>
    <t>0,00</t>
  </si>
  <si>
    <t>0,43</t>
  </si>
  <si>
    <t>0,16</t>
  </si>
  <si>
    <t>-2,80</t>
  </si>
  <si>
    <t>8,31</t>
  </si>
  <si>
    <t>-0,13</t>
  </si>
  <si>
    <t>0,68</t>
  </si>
  <si>
    <t>0,14</t>
  </si>
  <si>
    <t>0,84</t>
  </si>
  <si>
    <t>25,28</t>
  </si>
  <si>
    <t>3,73</t>
  </si>
  <si>
    <t>-0,07</t>
  </si>
  <si>
    <t>-0,90</t>
  </si>
  <si>
    <t>0,58</t>
  </si>
  <si>
    <t>0,12</t>
  </si>
  <si>
    <t>-0,02</t>
  </si>
  <si>
    <t>1,45</t>
  </si>
  <si>
    <t>1,58</t>
  </si>
  <si>
    <t>-0,96</t>
  </si>
  <si>
    <t>0,04</t>
  </si>
  <si>
    <t>-0,16</t>
  </si>
  <si>
    <t>17,53</t>
  </si>
  <si>
    <t>48,00</t>
  </si>
  <si>
    <t>4,25</t>
  </si>
  <si>
    <t>8,85</t>
  </si>
  <si>
    <t>0,40</t>
  </si>
  <si>
    <t>14,75</t>
  </si>
  <si>
    <t>-2,00</t>
  </si>
  <si>
    <t>0,24</t>
  </si>
  <si>
    <t>0,54</t>
  </si>
  <si>
    <t>239,00</t>
  </si>
  <si>
    <t>-1,80</t>
  </si>
  <si>
    <t>0,36</t>
  </si>
  <si>
    <t>-0,05</t>
  </si>
  <si>
    <t>3,69</t>
  </si>
  <si>
    <t>-0,04</t>
  </si>
  <si>
    <t>1,51</t>
  </si>
  <si>
    <t>60,40</t>
  </si>
  <si>
    <t>0,34</t>
  </si>
  <si>
    <t>-1,40</t>
  </si>
  <si>
    <t>0,96</t>
  </si>
  <si>
    <t>0,22</t>
  </si>
  <si>
    <t>0,60</t>
  </si>
  <si>
    <t>20,90</t>
  </si>
  <si>
    <t>-0,20</t>
  </si>
  <si>
    <t>23,76</t>
  </si>
  <si>
    <t>-0,27</t>
  </si>
  <si>
    <t>3,51</t>
  </si>
  <si>
    <t>9,93</t>
  </si>
  <si>
    <t>-1,60</t>
  </si>
  <si>
    <t>-1,36</t>
  </si>
  <si>
    <t>14,97</t>
  </si>
  <si>
    <t>0,41</t>
  </si>
  <si>
    <t>8,60</t>
  </si>
  <si>
    <t>-0,21</t>
  </si>
  <si>
    <t>-0,42</t>
  </si>
  <si>
    <t>4,50</t>
  </si>
  <si>
    <t>-0,55</t>
  </si>
  <si>
    <t>-0,15</t>
  </si>
  <si>
    <t>8,23</t>
  </si>
  <si>
    <t>1,34</t>
  </si>
  <si>
    <t>11,03</t>
  </si>
  <si>
    <t>0,11</t>
  </si>
  <si>
    <t>11,14</t>
  </si>
  <si>
    <t>4,98</t>
  </si>
  <si>
    <t>4,21</t>
  </si>
  <si>
    <t>8,14</t>
  </si>
  <si>
    <t>0,62</t>
  </si>
  <si>
    <t>0,75</t>
  </si>
  <si>
    <t>-0,01</t>
  </si>
  <si>
    <t>2,99</t>
  </si>
  <si>
    <t>1,00</t>
  </si>
  <si>
    <t>-0,17</t>
  </si>
  <si>
    <t>6,67</t>
  </si>
  <si>
    <t>-0,14</t>
  </si>
  <si>
    <t>1,43</t>
  </si>
  <si>
    <t>0,21</t>
  </si>
  <si>
    <t>0,26</t>
  </si>
  <si>
    <t>0,25</t>
  </si>
  <si>
    <t>6999995,00</t>
  </si>
  <si>
    <t>39,50</t>
  </si>
  <si>
    <t>24,70</t>
  </si>
  <si>
    <t>-0,49</t>
  </si>
  <si>
    <t>13,70</t>
  </si>
  <si>
    <t>11,00</t>
  </si>
  <si>
    <t>0,66</t>
  </si>
  <si>
    <t>-0,09</t>
  </si>
  <si>
    <t>53,70</t>
  </si>
  <si>
    <t>83,20</t>
  </si>
  <si>
    <t>2,25</t>
  </si>
  <si>
    <t>0,65</t>
  </si>
  <si>
    <t>0,15</t>
  </si>
  <si>
    <t>9,94</t>
  </si>
  <si>
    <t>2,00</t>
  </si>
  <si>
    <t>-0,03</t>
  </si>
  <si>
    <t>14,06</t>
  </si>
  <si>
    <t>4,71</t>
  </si>
  <si>
    <t>13,40</t>
  </si>
  <si>
    <t>-0,50</t>
  </si>
  <si>
    <t>30,72</t>
  </si>
  <si>
    <t>5,95</t>
  </si>
  <si>
    <t>0,71</t>
  </si>
  <si>
    <t>124,70</t>
  </si>
  <si>
    <t>114,00</t>
  </si>
  <si>
    <t>23,74</t>
  </si>
  <si>
    <t>7,95</t>
  </si>
  <si>
    <t>0,47</t>
  </si>
  <si>
    <t>0,80</t>
  </si>
  <si>
    <t>38,50</t>
  </si>
  <si>
    <t>2,30</t>
  </si>
  <si>
    <t>-1,48</t>
  </si>
  <si>
    <t>11,34</t>
  </si>
  <si>
    <t>1,26</t>
  </si>
  <si>
    <t>4,83</t>
  </si>
  <si>
    <t>4,35</t>
  </si>
  <si>
    <t>1,15</t>
  </si>
  <si>
    <t>-0,38</t>
  </si>
  <si>
    <t>28,66</t>
  </si>
  <si>
    <t>0,56</t>
  </si>
  <si>
    <t>68,60</t>
  </si>
  <si>
    <t>12,30</t>
  </si>
  <si>
    <t>7,35</t>
  </si>
  <si>
    <t>73,00</t>
  </si>
  <si>
    <t>2,23</t>
  </si>
  <si>
    <t>0,98</t>
  </si>
  <si>
    <t>-0,29</t>
  </si>
  <si>
    <t>8,32</t>
  </si>
  <si>
    <t>0,46</t>
  </si>
  <si>
    <t>0,39</t>
  </si>
  <si>
    <t>4,08</t>
  </si>
  <si>
    <t>XU100</t>
  </si>
  <si>
    <t>Yön</t>
  </si>
  <si>
    <t>Ç</t>
  </si>
  <si>
    <t>È</t>
  </si>
  <si>
    <t xml:space="preserve"> </t>
  </si>
  <si>
    <t>27,30</t>
  </si>
  <si>
    <t>27,00</t>
  </si>
  <si>
    <t>45,64</t>
  </si>
  <si>
    <t>17,70</t>
  </si>
  <si>
    <t>12,94</t>
  </si>
  <si>
    <t>13,18</t>
  </si>
  <si>
    <t>119,00</t>
  </si>
  <si>
    <t>5,98</t>
  </si>
  <si>
    <t>1210,00</t>
  </si>
  <si>
    <t>42,30</t>
  </si>
  <si>
    <t>81,20</t>
  </si>
  <si>
    <t>42,50</t>
  </si>
  <si>
    <t>-0,52</t>
  </si>
  <si>
    <t>0,95</t>
  </si>
  <si>
    <t>113,50</t>
  </si>
  <si>
    <t>114,70</t>
  </si>
  <si>
    <t>1,25</t>
  </si>
  <si>
    <t>16,20</t>
  </si>
  <si>
    <t>0,94</t>
  </si>
  <si>
    <t>46,26</t>
  </si>
  <si>
    <t>134,00</t>
  </si>
  <si>
    <t>5,77</t>
  </si>
  <si>
    <t>13,51</t>
  </si>
  <si>
    <t>23,20</t>
  </si>
  <si>
    <t>25,10</t>
  </si>
  <si>
    <t>497,00</t>
  </si>
  <si>
    <t>27,68</t>
  </si>
  <si>
    <t>11,55</t>
  </si>
  <si>
    <t>29,20</t>
  </si>
  <si>
    <t>1,57</t>
  </si>
  <si>
    <t>0,90</t>
  </si>
  <si>
    <t>36,00</t>
  </si>
  <si>
    <t>25,08</t>
  </si>
  <si>
    <t>1,48</t>
  </si>
  <si>
    <t>8,16</t>
  </si>
  <si>
    <t>304,25</t>
  </si>
  <si>
    <t>16,62</t>
  </si>
  <si>
    <t>16,63</t>
  </si>
  <si>
    <t>12,00</t>
  </si>
  <si>
    <t>24,72</t>
  </si>
  <si>
    <t>3,79</t>
  </si>
  <si>
    <t>3,66</t>
  </si>
  <si>
    <t>20,64</t>
  </si>
  <si>
    <t>5,71</t>
  </si>
  <si>
    <t>0,76</t>
  </si>
  <si>
    <t>35,12</t>
  </si>
  <si>
    <t>0,82</t>
  </si>
  <si>
    <t>13,94</t>
  </si>
  <si>
    <t>14,11</t>
  </si>
  <si>
    <t>4,97</t>
  </si>
  <si>
    <t>41,00</t>
  </si>
  <si>
    <t>10,39</t>
  </si>
  <si>
    <t>138,00</t>
  </si>
  <si>
    <t>127,60</t>
  </si>
  <si>
    <t>16,00</t>
  </si>
  <si>
    <t>123,90</t>
  </si>
  <si>
    <t>117,10</t>
  </si>
  <si>
    <t>14,25</t>
  </si>
  <si>
    <t>8,75</t>
  </si>
  <si>
    <t>7,75</t>
  </si>
  <si>
    <t>13,90</t>
  </si>
  <si>
    <t>59,75</t>
  </si>
  <si>
    <t>59,55</t>
  </si>
  <si>
    <t>36,40</t>
  </si>
  <si>
    <t>10,88</t>
  </si>
  <si>
    <t>0,42</t>
  </si>
  <si>
    <t>32,78</t>
  </si>
  <si>
    <t>14,58</t>
  </si>
  <si>
    <t>18,12</t>
  </si>
  <si>
    <t>85,50</t>
  </si>
  <si>
    <t>0,35</t>
  </si>
  <si>
    <t>4,68</t>
  </si>
  <si>
    <t>1,40</t>
  </si>
  <si>
    <t>1,46</t>
  </si>
  <si>
    <t>548,00</t>
  </si>
  <si>
    <t>41,80</t>
  </si>
  <si>
    <t>37,26</t>
  </si>
  <si>
    <t>-1,04</t>
  </si>
  <si>
    <t>10,36</t>
  </si>
  <si>
    <t>10,08</t>
  </si>
  <si>
    <t>24,22</t>
  </si>
  <si>
    <t>15,29</t>
  </si>
  <si>
    <t>1,35</t>
  </si>
  <si>
    <t>57,50</t>
  </si>
  <si>
    <t>46,80</t>
  </si>
  <si>
    <t>38,16</t>
  </si>
  <si>
    <t>23,92</t>
  </si>
  <si>
    <t>21,04</t>
  </si>
  <si>
    <t>28,00</t>
  </si>
  <si>
    <t>101,10</t>
  </si>
  <si>
    <t>81,00</t>
  </si>
  <si>
    <t>33,04</t>
  </si>
  <si>
    <t>62,45</t>
  </si>
  <si>
    <t>49,64</t>
  </si>
  <si>
    <t>13,41</t>
  </si>
  <si>
    <t>13,33</t>
  </si>
  <si>
    <t>5,42</t>
  </si>
  <si>
    <t>41,24</t>
  </si>
  <si>
    <t>40,40</t>
  </si>
  <si>
    <t>6,50</t>
  </si>
  <si>
    <t>5,48</t>
  </si>
  <si>
    <t>8,62</t>
  </si>
  <si>
    <t>57,00</t>
  </si>
  <si>
    <t>56,35</t>
  </si>
  <si>
    <t>25,42</t>
  </si>
  <si>
    <t>86,00</t>
  </si>
  <si>
    <t>13,27</t>
  </si>
  <si>
    <t>1,89</t>
  </si>
  <si>
    <t>4,44</t>
  </si>
  <si>
    <t>47,70</t>
  </si>
  <si>
    <t>0,88</t>
  </si>
  <si>
    <t>52,50</t>
  </si>
  <si>
    <t>5,76</t>
  </si>
  <si>
    <t>7,31</t>
  </si>
  <si>
    <t>58,40</t>
  </si>
  <si>
    <t>60,75</t>
  </si>
  <si>
    <t>54,25</t>
  </si>
  <si>
    <t>40,92</t>
  </si>
  <si>
    <t>79,55</t>
  </si>
  <si>
    <t>135,90</t>
  </si>
  <si>
    <t>28,46</t>
  </si>
  <si>
    <t>68,25</t>
  </si>
  <si>
    <t>590,00</t>
  </si>
  <si>
    <t>13,02</t>
  </si>
  <si>
    <t>24,50</t>
  </si>
  <si>
    <t>16,40</t>
  </si>
  <si>
    <t>46,00</t>
  </si>
  <si>
    <t>1,84</t>
  </si>
  <si>
    <t>13,37</t>
  </si>
  <si>
    <t>47,12</t>
  </si>
  <si>
    <t>8,17</t>
  </si>
  <si>
    <t>6,28</t>
  </si>
  <si>
    <t>7,77</t>
  </si>
  <si>
    <t>-2,54</t>
  </si>
  <si>
    <t>61,15</t>
  </si>
  <si>
    <t>110,90</t>
  </si>
  <si>
    <t>28,90</t>
  </si>
  <si>
    <t>-2,50</t>
  </si>
  <si>
    <t>47,78</t>
  </si>
  <si>
    <t>46,90</t>
  </si>
  <si>
    <t>42,14</t>
  </si>
  <si>
    <t>0,67</t>
  </si>
  <si>
    <t>29,34</t>
  </si>
  <si>
    <t>28,70</t>
  </si>
  <si>
    <t>50,05</t>
  </si>
  <si>
    <t>3340,00</t>
  </si>
  <si>
    <t>26,44</t>
  </si>
  <si>
    <t>14,45</t>
  </si>
  <si>
    <t>16,60</t>
  </si>
  <si>
    <t>4,64</t>
  </si>
  <si>
    <t>32,42</t>
  </si>
  <si>
    <t>20,20</t>
  </si>
  <si>
    <t>60,45</t>
  </si>
  <si>
    <t>23,70</t>
  </si>
  <si>
    <t>5,93</t>
  </si>
  <si>
    <t>92,00</t>
  </si>
  <si>
    <t>22,10</t>
  </si>
  <si>
    <t>11,74</t>
  </si>
  <si>
    <t>49,00</t>
  </si>
  <si>
    <t>25,84</t>
  </si>
  <si>
    <t>16,49</t>
  </si>
  <si>
    <t>51,20</t>
  </si>
  <si>
    <t>136,70</t>
  </si>
  <si>
    <t>21,16</t>
  </si>
  <si>
    <t>44,50</t>
  </si>
  <si>
    <t>4,63</t>
  </si>
  <si>
    <t>16,71</t>
  </si>
  <si>
    <t>3,99</t>
  </si>
  <si>
    <t>135,80</t>
  </si>
  <si>
    <t>11,79</t>
  </si>
  <si>
    <t>13,11</t>
  </si>
  <si>
    <t>27,56</t>
  </si>
  <si>
    <t>117,30</t>
  </si>
  <si>
    <t>17,63</t>
  </si>
  <si>
    <t>32,96</t>
  </si>
  <si>
    <t>240,70</t>
  </si>
  <si>
    <t>58,65</t>
  </si>
  <si>
    <t>8,19</t>
  </si>
  <si>
    <t>47,10</t>
  </si>
  <si>
    <t>330,00</t>
  </si>
  <si>
    <t>22,70</t>
  </si>
  <si>
    <t>39,70</t>
  </si>
  <si>
    <t>200,50</t>
  </si>
  <si>
    <t>35,94</t>
  </si>
  <si>
    <t>138,60</t>
  </si>
  <si>
    <t>28,48</t>
  </si>
  <si>
    <t>16,86</t>
  </si>
  <si>
    <t>35,00</t>
  </si>
  <si>
    <t>4,77</t>
  </si>
  <si>
    <t>15,59</t>
  </si>
  <si>
    <t>5,82</t>
  </si>
  <si>
    <t>307,75</t>
  </si>
  <si>
    <t>187,00</t>
  </si>
  <si>
    <t>107,80</t>
  </si>
  <si>
    <t>82,20</t>
  </si>
  <si>
    <t>12,74</t>
  </si>
  <si>
    <t>2443,00</t>
  </si>
  <si>
    <t>7,58</t>
  </si>
  <si>
    <t>7,27</t>
  </si>
  <si>
    <t>0,97</t>
  </si>
  <si>
    <t>18,05</t>
  </si>
  <si>
    <t>2,31</t>
  </si>
  <si>
    <t>118,80</t>
  </si>
  <si>
    <t>119,70</t>
  </si>
  <si>
    <t>45,76</t>
  </si>
  <si>
    <t>120,60</t>
  </si>
  <si>
    <t>0,73</t>
  </si>
  <si>
    <t>6,06</t>
  </si>
  <si>
    <t>72,95</t>
  </si>
  <si>
    <t>118,30</t>
  </si>
  <si>
    <t>3,60</t>
  </si>
  <si>
    <t>3,59</t>
  </si>
  <si>
    <t>16,54</t>
  </si>
  <si>
    <t>16,53</t>
  </si>
  <si>
    <t>0,74</t>
  </si>
  <si>
    <t>4,66</t>
  </si>
  <si>
    <t>228,30</t>
  </si>
  <si>
    <t>287,00</t>
  </si>
  <si>
    <t>2,26</t>
  </si>
  <si>
    <t>52,95</t>
  </si>
  <si>
    <t>53,00</t>
  </si>
  <si>
    <t>240,60</t>
  </si>
  <si>
    <t>233,50</t>
  </si>
  <si>
    <t>1,50</t>
  </si>
  <si>
    <t>8,97</t>
  </si>
  <si>
    <t>0,45</t>
  </si>
  <si>
    <t>154,00</t>
  </si>
  <si>
    <t>29,76</t>
  </si>
  <si>
    <t>0,83</t>
  </si>
  <si>
    <t>0,78</t>
  </si>
  <si>
    <t>0,99</t>
  </si>
  <si>
    <t>1,74</t>
  </si>
  <si>
    <t>23,64</t>
  </si>
  <si>
    <t>28,08</t>
  </si>
  <si>
    <t>27,78</t>
  </si>
  <si>
    <t>232,20</t>
  </si>
  <si>
    <t>50,70</t>
  </si>
  <si>
    <t>1,27</t>
  </si>
  <si>
    <t>1,20</t>
  </si>
  <si>
    <t>492,50</t>
  </si>
  <si>
    <t>47,80</t>
  </si>
  <si>
    <t>0,86</t>
  </si>
  <si>
    <t>7,80</t>
  </si>
  <si>
    <t>3,57</t>
  </si>
  <si>
    <t>35,44</t>
  </si>
  <si>
    <t>35,28</t>
  </si>
  <si>
    <t>68,70</t>
  </si>
  <si>
    <t>287,50</t>
  </si>
  <si>
    <t>287,75</t>
  </si>
  <si>
    <t>51,25</t>
  </si>
  <si>
    <t>53,85</t>
  </si>
  <si>
    <t>1,05</t>
  </si>
  <si>
    <t>59,90</t>
  </si>
  <si>
    <t>180,40</t>
  </si>
  <si>
    <t>251,00</t>
  </si>
  <si>
    <t>10,30</t>
  </si>
  <si>
    <t>2,56</t>
  </si>
  <si>
    <t>4,62</t>
  </si>
  <si>
    <t>80,50</t>
  </si>
  <si>
    <t>136,60</t>
  </si>
  <si>
    <t>23,40</t>
  </si>
  <si>
    <t>23,38</t>
  </si>
  <si>
    <t>23,22</t>
  </si>
  <si>
    <t>31,68</t>
  </si>
  <si>
    <t>1,12</t>
  </si>
  <si>
    <t>1,93</t>
  </si>
  <si>
    <t>32,88</t>
  </si>
  <si>
    <t>16,50</t>
  </si>
  <si>
    <t>17,50</t>
  </si>
  <si>
    <t>3,12</t>
  </si>
  <si>
    <t>0,31</t>
  </si>
  <si>
    <t>0,49</t>
  </si>
  <si>
    <t>170,00</t>
  </si>
  <si>
    <t>2,75</t>
  </si>
  <si>
    <t>1,18</t>
  </si>
  <si>
    <t>85,30</t>
  </si>
  <si>
    <t>66,45</t>
  </si>
  <si>
    <t>27,04</t>
  </si>
  <si>
    <t>36,96</t>
  </si>
  <si>
    <t>14,70</t>
  </si>
  <si>
    <t>211,00</t>
  </si>
  <si>
    <t>20,92</t>
  </si>
  <si>
    <t>96,95</t>
  </si>
  <si>
    <t>36,80</t>
  </si>
  <si>
    <t>298,00</t>
  </si>
  <si>
    <t>49,60</t>
  </si>
  <si>
    <t>180,30</t>
  </si>
  <si>
    <t>4,18</t>
  </si>
  <si>
    <t>0,13</t>
  </si>
  <si>
    <t>496,75</t>
  </si>
  <si>
    <t>16,90</t>
  </si>
  <si>
    <t>16,91</t>
  </si>
  <si>
    <t>18,93</t>
  </si>
  <si>
    <t>18,95</t>
  </si>
  <si>
    <t>2,72</t>
  </si>
  <si>
    <t>24,04</t>
  </si>
  <si>
    <t>287,25</t>
  </si>
  <si>
    <t>35,38</t>
  </si>
  <si>
    <t>-1,32</t>
  </si>
  <si>
    <t>1,90</t>
  </si>
  <si>
    <t>173,90</t>
  </si>
  <si>
    <t>13,20</t>
  </si>
  <si>
    <t>140,40</t>
  </si>
  <si>
    <t>2,11</t>
  </si>
  <si>
    <t>3,46</t>
  </si>
  <si>
    <t>14,00</t>
  </si>
  <si>
    <t>29,56</t>
  </si>
  <si>
    <t>-0,95</t>
  </si>
  <si>
    <t>108,60</t>
  </si>
  <si>
    <t>-1,08</t>
  </si>
  <si>
    <t>4,51</t>
  </si>
  <si>
    <t>4,61</t>
  </si>
  <si>
    <t>18,35</t>
  </si>
  <si>
    <t>2,04</t>
  </si>
  <si>
    <t>38,90</t>
  </si>
  <si>
    <t>-2,68</t>
  </si>
  <si>
    <t>1,30</t>
  </si>
  <si>
    <t>38,94</t>
  </si>
  <si>
    <t>100,60</t>
  </si>
  <si>
    <t>13,98</t>
  </si>
  <si>
    <t>36,46</t>
  </si>
  <si>
    <t>5,90</t>
  </si>
  <si>
    <t>29,62</t>
  </si>
  <si>
    <t>2446,00</t>
  </si>
  <si>
    <t>87,00</t>
  </si>
  <si>
    <t>20,68</t>
  </si>
  <si>
    <t>7,66</t>
  </si>
  <si>
    <t>64,15</t>
  </si>
  <si>
    <t>42,06</t>
  </si>
  <si>
    <t>18,88</t>
  </si>
  <si>
    <t>47,90</t>
  </si>
  <si>
    <t>3,36</t>
  </si>
  <si>
    <t>71,25</t>
  </si>
  <si>
    <t>9,83</t>
  </si>
  <si>
    <t>42,10</t>
  </si>
  <si>
    <t>31,42</t>
  </si>
  <si>
    <t>66,80</t>
  </si>
  <si>
    <t>64,95</t>
  </si>
  <si>
    <t>18,42</t>
  </si>
  <si>
    <t>67,15</t>
  </si>
  <si>
    <t>43,86</t>
  </si>
  <si>
    <t>24,54</t>
  </si>
  <si>
    <t>96,45</t>
  </si>
  <si>
    <t>13,22</t>
  </si>
  <si>
    <t>79,90</t>
  </si>
  <si>
    <t>26,54</t>
  </si>
  <si>
    <t>23,30</t>
  </si>
  <si>
    <t>144,60</t>
  </si>
  <si>
    <t>45,02</t>
  </si>
  <si>
    <t>116,50</t>
  </si>
  <si>
    <t>21,92</t>
  </si>
  <si>
    <t>15,14</t>
  </si>
  <si>
    <t>19,30</t>
  </si>
  <si>
    <t>75,30</t>
  </si>
  <si>
    <t>13,64</t>
  </si>
  <si>
    <t>36,48</t>
  </si>
  <si>
    <t>4,37</t>
  </si>
  <si>
    <t>16,34</t>
  </si>
  <si>
    <t>18,48</t>
  </si>
  <si>
    <t>48,96</t>
  </si>
  <si>
    <t>94,45</t>
  </si>
  <si>
    <t>50,90</t>
  </si>
  <si>
    <t>31,04</t>
  </si>
  <si>
    <t>18,47</t>
  </si>
  <si>
    <t>-1,41</t>
  </si>
  <si>
    <t>29,10</t>
  </si>
  <si>
    <t>87,20</t>
  </si>
  <si>
    <t>3,31</t>
  </si>
  <si>
    <t>43,18</t>
  </si>
  <si>
    <t>8,63</t>
  </si>
  <si>
    <t>45,00</t>
  </si>
  <si>
    <t>40,98</t>
  </si>
  <si>
    <t>12,34</t>
  </si>
  <si>
    <t>64,10</t>
  </si>
  <si>
    <t>12,25</t>
  </si>
  <si>
    <t>94,70</t>
  </si>
  <si>
    <t>36,14</t>
  </si>
  <si>
    <t>28,94</t>
  </si>
  <si>
    <t>35,02</t>
  </si>
  <si>
    <t>6,61</t>
  </si>
  <si>
    <t>14,52</t>
  </si>
  <si>
    <t>48,44</t>
  </si>
  <si>
    <t>21,34</t>
  </si>
  <si>
    <t>48,30</t>
  </si>
  <si>
    <t>22,96</t>
  </si>
  <si>
    <t>4,16</t>
  </si>
  <si>
    <t>33,40</t>
  </si>
  <si>
    <t>36,54</t>
  </si>
  <si>
    <t>9,54</t>
  </si>
  <si>
    <t>46,30</t>
  </si>
  <si>
    <t>5,43</t>
  </si>
  <si>
    <t>14,09</t>
  </si>
  <si>
    <t>27,92</t>
  </si>
  <si>
    <t>41,20</t>
  </si>
  <si>
    <t>288,00</t>
  </si>
  <si>
    <t>53,05</t>
  </si>
  <si>
    <t>15,54</t>
  </si>
  <si>
    <t>55,80</t>
  </si>
  <si>
    <t>51,00</t>
  </si>
  <si>
    <t>42,48</t>
  </si>
  <si>
    <t>40,04</t>
  </si>
  <si>
    <t>8582,50</t>
  </si>
  <si>
    <t>40,70</t>
  </si>
  <si>
    <t>13,61</t>
  </si>
  <si>
    <t>54,35</t>
  </si>
  <si>
    <t>98,50</t>
  </si>
  <si>
    <t>31,06</t>
  </si>
  <si>
    <t>30,40</t>
  </si>
  <si>
    <t>29,78</t>
  </si>
  <si>
    <t>40,66</t>
  </si>
  <si>
    <t>47,88</t>
  </si>
  <si>
    <t>30,46</t>
  </si>
  <si>
    <t>46,56</t>
  </si>
  <si>
    <t>12,11</t>
  </si>
  <si>
    <t>30,50</t>
  </si>
  <si>
    <t>30,48</t>
  </si>
  <si>
    <t>46,68</t>
  </si>
  <si>
    <t>41,18</t>
  </si>
  <si>
    <t>55,70</t>
  </si>
  <si>
    <t>68,40</t>
  </si>
  <si>
    <t>18,00</t>
  </si>
  <si>
    <t>61,50</t>
  </si>
  <si>
    <t>55,90</t>
  </si>
  <si>
    <t>68,35</t>
  </si>
  <si>
    <t>43,88</t>
  </si>
  <si>
    <t>34,18</t>
  </si>
  <si>
    <t>34,38</t>
  </si>
  <si>
    <t>81,60</t>
  </si>
  <si>
    <t>23,98</t>
  </si>
  <si>
    <t>45,74</t>
  </si>
  <si>
    <t>19,83</t>
  </si>
  <si>
    <t>34,12</t>
  </si>
  <si>
    <t>56,60</t>
  </si>
  <si>
    <t>121,00</t>
  </si>
  <si>
    <t>61,45</t>
  </si>
  <si>
    <t>97,00</t>
  </si>
  <si>
    <t>39,30</t>
  </si>
  <si>
    <t>176,30</t>
  </si>
  <si>
    <t>4,86</t>
  </si>
  <si>
    <t>64,20</t>
  </si>
  <si>
    <t>65,90</t>
  </si>
  <si>
    <t>33,90</t>
  </si>
  <si>
    <t>54,50</t>
  </si>
  <si>
    <t>47,18</t>
  </si>
  <si>
    <t>72,90</t>
  </si>
  <si>
    <t>5,92</t>
  </si>
  <si>
    <t>35,80</t>
  </si>
  <si>
    <t>10,68</t>
  </si>
  <si>
    <t>3,30</t>
  </si>
  <si>
    <t>42,44</t>
  </si>
  <si>
    <t>57,80</t>
  </si>
  <si>
    <t>875,00</t>
  </si>
  <si>
    <t>31,44</t>
  </si>
  <si>
    <t>27,06</t>
  </si>
  <si>
    <t>40,50</t>
  </si>
  <si>
    <t>66,05</t>
  </si>
  <si>
    <t>37,24</t>
  </si>
  <si>
    <t>19,05</t>
  </si>
  <si>
    <t>7,34</t>
  </si>
  <si>
    <t>3,15</t>
  </si>
  <si>
    <t>33,06</t>
  </si>
  <si>
    <t>70,80</t>
  </si>
  <si>
    <t>12690,00</t>
  </si>
  <si>
    <t>210,40</t>
  </si>
  <si>
    <t>490,50</t>
  </si>
  <si>
    <t>214,00</t>
  </si>
  <si>
    <t>44,22</t>
  </si>
  <si>
    <t>188,60</t>
  </si>
  <si>
    <t>211,10</t>
  </si>
  <si>
    <t>135,40</t>
  </si>
  <si>
    <t>36,04</t>
  </si>
  <si>
    <t>40,42</t>
  </si>
  <si>
    <t>121,20</t>
  </si>
  <si>
    <t>78,50</t>
  </si>
  <si>
    <t>18,28</t>
  </si>
  <si>
    <t>118,70</t>
  </si>
  <si>
    <t>312,00</t>
  </si>
  <si>
    <t>47,20</t>
  </si>
  <si>
    <t>988,50</t>
  </si>
  <si>
    <t>800,00</t>
  </si>
  <si>
    <t>8,92</t>
  </si>
  <si>
    <t>1080,00</t>
  </si>
  <si>
    <t>153,80</t>
  </si>
  <si>
    <t>616,50</t>
  </si>
  <si>
    <t>311,75</t>
  </si>
  <si>
    <t>308,00</t>
  </si>
  <si>
    <t>616,00</t>
  </si>
  <si>
    <t>10556,80</t>
  </si>
  <si>
    <t>27,02</t>
  </si>
  <si>
    <t>660,00</t>
  </si>
  <si>
    <t>12,95</t>
  </si>
  <si>
    <t>105,00</t>
  </si>
  <si>
    <t>357,50</t>
  </si>
  <si>
    <t>8,77</t>
  </si>
  <si>
    <t>15,16</t>
  </si>
  <si>
    <t>8,02</t>
  </si>
  <si>
    <t>301,25</t>
  </si>
  <si>
    <t>106,80</t>
  </si>
  <si>
    <t>107,00</t>
  </si>
  <si>
    <t>28,20</t>
  </si>
  <si>
    <t>18,75</t>
  </si>
  <si>
    <t>12,05</t>
  </si>
  <si>
    <t>16,68</t>
  </si>
  <si>
    <t>121,90</t>
  </si>
  <si>
    <t>156,90</t>
  </si>
  <si>
    <t>5,47</t>
  </si>
  <si>
    <t>5,45</t>
  </si>
  <si>
    <t>14,35</t>
  </si>
  <si>
    <t>726,50</t>
  </si>
  <si>
    <t>34,10</t>
  </si>
  <si>
    <t>29,44</t>
  </si>
  <si>
    <t>82,15</t>
  </si>
  <si>
    <t>295,00</t>
  </si>
  <si>
    <t>31,40</t>
  </si>
  <si>
    <t>30,62</t>
  </si>
  <si>
    <t>412,50</t>
  </si>
  <si>
    <t>34,30</t>
  </si>
  <si>
    <t>19,35</t>
  </si>
  <si>
    <t>5,53</t>
  </si>
  <si>
    <t>19,52</t>
  </si>
  <si>
    <t>138,20</t>
  </si>
  <si>
    <t>26,72</t>
  </si>
  <si>
    <t>24,92</t>
  </si>
  <si>
    <t>9,87</t>
  </si>
  <si>
    <t>20,62</t>
  </si>
  <si>
    <t>3197,50</t>
  </si>
  <si>
    <t>131,40</t>
  </si>
  <si>
    <t>23,82</t>
  </si>
  <si>
    <t>441,75</t>
  </si>
  <si>
    <t>19,40</t>
  </si>
  <si>
    <t>8,55</t>
  </si>
  <si>
    <t>7,83</t>
  </si>
  <si>
    <t>13,93</t>
  </si>
  <si>
    <t>13,92</t>
  </si>
  <si>
    <t>14,19</t>
  </si>
  <si>
    <t>16,30</t>
  </si>
  <si>
    <t>175,00</t>
  </si>
  <si>
    <t>174,90</t>
  </si>
  <si>
    <t>172,20</t>
  </si>
  <si>
    <t>4995,00</t>
  </si>
  <si>
    <t>15,08</t>
  </si>
  <si>
    <t>42,42</t>
  </si>
  <si>
    <t>25,90</t>
  </si>
  <si>
    <t>213,60</t>
  </si>
  <si>
    <t>213,70</t>
  </si>
  <si>
    <t>124,10</t>
  </si>
  <si>
    <t>21,84</t>
  </si>
  <si>
    <t>15,90</t>
  </si>
  <si>
    <t>136,80</t>
  </si>
  <si>
    <t>12,40</t>
  </si>
  <si>
    <t>13,52</t>
  </si>
  <si>
    <t>14,99</t>
  </si>
  <si>
    <t>8,44</t>
  </si>
  <si>
    <t>424,75</t>
  </si>
  <si>
    <t>26,26</t>
  </si>
  <si>
    <t>138,80</t>
  </si>
  <si>
    <t>10,53</t>
  </si>
  <si>
    <t>8,21</t>
  </si>
  <si>
    <t>8,22</t>
  </si>
  <si>
    <t>87,80</t>
  </si>
  <si>
    <t>11,87</t>
  </si>
  <si>
    <t>4,74</t>
  </si>
  <si>
    <t>14,79</t>
  </si>
  <si>
    <t>19,80</t>
  </si>
  <si>
    <t>1,59</t>
  </si>
  <si>
    <t>520,00</t>
  </si>
  <si>
    <t>253,75</t>
  </si>
  <si>
    <t>260,00</t>
  </si>
  <si>
    <t>14,41</t>
  </si>
  <si>
    <t>30,60</t>
  </si>
  <si>
    <t>10,03</t>
  </si>
  <si>
    <t>29,96</t>
  </si>
  <si>
    <t>193,30</t>
  </si>
  <si>
    <t>12,17</t>
  </si>
  <si>
    <t>12,18</t>
  </si>
  <si>
    <t>12,23</t>
  </si>
  <si>
    <t>13,67</t>
  </si>
  <si>
    <t>10,85</t>
  </si>
  <si>
    <t>19,92</t>
  </si>
  <si>
    <t>92,85</t>
  </si>
  <si>
    <t>2,77</t>
  </si>
  <si>
    <t>24,82</t>
  </si>
  <si>
    <t>8,01</t>
  </si>
  <si>
    <t>7,84</t>
  </si>
  <si>
    <t>32,62</t>
  </si>
  <si>
    <t>22,12</t>
  </si>
  <si>
    <t>8,53</t>
  </si>
  <si>
    <t>388,75</t>
  </si>
  <si>
    <t>87,55</t>
  </si>
  <si>
    <t>1146,00</t>
  </si>
  <si>
    <t>26,76</t>
  </si>
  <si>
    <t>26,74</t>
  </si>
  <si>
    <t>26,78</t>
  </si>
  <si>
    <t>7,08</t>
  </si>
  <si>
    <t>10,56</t>
  </si>
  <si>
    <t>12,10</t>
  </si>
  <si>
    <t>17,41</t>
  </si>
  <si>
    <t>6,31</t>
  </si>
  <si>
    <t>13,23</t>
  </si>
  <si>
    <t>13,24</t>
  </si>
  <si>
    <t>272,75</t>
  </si>
  <si>
    <t>272,50</t>
  </si>
  <si>
    <t>2040,00</t>
  </si>
  <si>
    <t>18,89</t>
  </si>
  <si>
    <t>16,29</t>
  </si>
  <si>
    <t>40,38</t>
  </si>
  <si>
    <t>282,50</t>
  </si>
  <si>
    <t>13,25</t>
  </si>
  <si>
    <t>13,15</t>
  </si>
  <si>
    <t>27,96</t>
  </si>
  <si>
    <t>34,58</t>
  </si>
  <si>
    <t>34,50</t>
  </si>
  <si>
    <t>46,86</t>
  </si>
  <si>
    <t>111,90</t>
  </si>
  <si>
    <t>16,10</t>
  </si>
  <si>
    <t>PEHOL</t>
  </si>
  <si>
    <t>26,70</t>
  </si>
  <si>
    <t>9,90</t>
  </si>
  <si>
    <t>7,51</t>
  </si>
  <si>
    <t>15,94</t>
  </si>
  <si>
    <t>106,90</t>
  </si>
  <si>
    <t>316,50</t>
  </si>
  <si>
    <t>314,50</t>
  </si>
  <si>
    <t>14,31</t>
  </si>
  <si>
    <t>14,33</t>
  </si>
  <si>
    <t>15665,00</t>
  </si>
  <si>
    <t>15667,50</t>
  </si>
  <si>
    <t>6,44</t>
  </si>
  <si>
    <t>23,32</t>
  </si>
  <si>
    <t>23,26</t>
  </si>
  <si>
    <t>102,20</t>
  </si>
  <si>
    <t>195,00</t>
  </si>
  <si>
    <t>548,50</t>
  </si>
  <si>
    <t>32,38</t>
  </si>
  <si>
    <t>11,27</t>
  </si>
  <si>
    <t>14,69</t>
  </si>
  <si>
    <t>20,46</t>
  </si>
  <si>
    <t>5,29</t>
  </si>
  <si>
    <t>7,39</t>
  </si>
  <si>
    <t>483,25</t>
  </si>
  <si>
    <t>29,26</t>
  </si>
  <si>
    <t>24,56</t>
  </si>
  <si>
    <t>8725,00</t>
  </si>
  <si>
    <t>20,34</t>
  </si>
  <si>
    <t>35,88</t>
  </si>
  <si>
    <t>112,30</t>
  </si>
  <si>
    <t>135,30</t>
  </si>
  <si>
    <t>593,00</t>
  </si>
  <si>
    <t>433,25</t>
  </si>
  <si>
    <t>25,24</t>
  </si>
  <si>
    <t>13,04</t>
  </si>
  <si>
    <t>174,50</t>
  </si>
  <si>
    <t>16,07</t>
  </si>
  <si>
    <t>8,15</t>
  </si>
  <si>
    <t>18,84</t>
  </si>
  <si>
    <t>262,25</t>
  </si>
  <si>
    <t>256,50</t>
  </si>
  <si>
    <t>386,75</t>
  </si>
  <si>
    <t>6,62</t>
  </si>
  <si>
    <t>11,13</t>
  </si>
  <si>
    <t>8,39</t>
  </si>
  <si>
    <t>8,12</t>
  </si>
  <si>
    <t>8,33</t>
  </si>
  <si>
    <t>10,50</t>
  </si>
  <si>
    <t>124,00</t>
  </si>
  <si>
    <t>Alış Tarihi</t>
  </si>
  <si>
    <t>Satış Tarihi</t>
  </si>
  <si>
    <t>Hisse</t>
  </si>
  <si>
    <t>Alış Fiyat</t>
  </si>
  <si>
    <t>Satış Fiyat</t>
  </si>
  <si>
    <t>Ağırlıklı Kar</t>
  </si>
  <si>
    <t>Günlük Kar</t>
  </si>
  <si>
    <t>0,44</t>
  </si>
  <si>
    <t>48,80</t>
  </si>
  <si>
    <t>215,00</t>
  </si>
  <si>
    <t>2,70</t>
  </si>
  <si>
    <t>67,10</t>
  </si>
  <si>
    <t>63,05</t>
  </si>
  <si>
    <t>66,60</t>
  </si>
  <si>
    <t>1,39</t>
  </si>
  <si>
    <t>0,87</t>
  </si>
  <si>
    <t>0,64</t>
  </si>
  <si>
    <t>0,32</t>
  </si>
  <si>
    <t>120,40</t>
  </si>
  <si>
    <t>5,91</t>
  </si>
  <si>
    <t>17,55</t>
  </si>
  <si>
    <t>36,78</t>
  </si>
  <si>
    <t>28,72</t>
  </si>
  <si>
    <t>47,96</t>
  </si>
  <si>
    <t>0,37</t>
  </si>
  <si>
    <t>16,80</t>
  </si>
  <si>
    <t>799,00</t>
  </si>
  <si>
    <t>812,00</t>
  </si>
  <si>
    <t>31,24</t>
  </si>
  <si>
    <t>291,50</t>
  </si>
  <si>
    <t>74,80</t>
  </si>
  <si>
    <t>12695,00</t>
  </si>
  <si>
    <t>1,04</t>
  </si>
  <si>
    <t>61,30</t>
  </si>
  <si>
    <t>49,78</t>
  </si>
  <si>
    <t>1092,00</t>
  </si>
  <si>
    <t>60,00</t>
  </si>
  <si>
    <t>0,48</t>
  </si>
  <si>
    <t>28,22</t>
  </si>
  <si>
    <t>49,48</t>
  </si>
  <si>
    <t>211,50</t>
  </si>
  <si>
    <t>21,38</t>
  </si>
  <si>
    <t>503,50</t>
  </si>
  <si>
    <t>8,50</t>
  </si>
  <si>
    <t>21,30</t>
  </si>
  <si>
    <t>2,60</t>
  </si>
  <si>
    <t>1,14</t>
  </si>
  <si>
    <t>101,80</t>
  </si>
  <si>
    <t>45,12</t>
  </si>
  <si>
    <t>68,20</t>
  </si>
  <si>
    <t>288,75</t>
  </si>
  <si>
    <t>46,16</t>
  </si>
  <si>
    <t>5,20</t>
  </si>
  <si>
    <t>51,45</t>
  </si>
  <si>
    <t>60,90</t>
  </si>
  <si>
    <t>180,20</t>
  </si>
  <si>
    <t>252,25</t>
  </si>
  <si>
    <t>3,75</t>
  </si>
  <si>
    <t>103,40</t>
  </si>
  <si>
    <t>53,25</t>
  </si>
  <si>
    <t>0,55</t>
  </si>
  <si>
    <t>1,03</t>
  </si>
  <si>
    <t>306,75</t>
  </si>
  <si>
    <t>49,30</t>
  </si>
  <si>
    <t>993,00</t>
  </si>
  <si>
    <t>174,20</t>
  </si>
  <si>
    <t>52,30</t>
  </si>
  <si>
    <t>12,42</t>
  </si>
  <si>
    <t>1,29</t>
  </si>
  <si>
    <t>0,23</t>
  </si>
  <si>
    <t>0,51</t>
  </si>
  <si>
    <t>41,84</t>
  </si>
  <si>
    <t>0,81</t>
  </si>
  <si>
    <t>45,06</t>
  </si>
  <si>
    <t>45,42</t>
  </si>
  <si>
    <t>116,70</t>
  </si>
  <si>
    <t>1,64</t>
  </si>
  <si>
    <t>154,90</t>
  </si>
  <si>
    <t>86,20</t>
  </si>
  <si>
    <t>0,29</t>
  </si>
  <si>
    <t>1,85</t>
  </si>
  <si>
    <t>47,36</t>
  </si>
  <si>
    <t>49,08</t>
  </si>
  <si>
    <t>14,08</t>
  </si>
  <si>
    <t>69,25</t>
  </si>
  <si>
    <t>-0,43</t>
  </si>
  <si>
    <t>-0,25</t>
  </si>
  <si>
    <t>188,40</t>
  </si>
  <si>
    <t>38,24</t>
  </si>
  <si>
    <t>48,58</t>
  </si>
  <si>
    <t>34,82</t>
  </si>
  <si>
    <t>47,84</t>
  </si>
  <si>
    <t>32,86</t>
  </si>
  <si>
    <t>27,52</t>
  </si>
  <si>
    <t>23,96</t>
  </si>
  <si>
    <t>77,60</t>
  </si>
  <si>
    <t>62,25</t>
  </si>
  <si>
    <t>44,02</t>
  </si>
  <si>
    <t>54,15</t>
  </si>
  <si>
    <t>66,50</t>
  </si>
  <si>
    <t>41,88</t>
  </si>
  <si>
    <t>40,62</t>
  </si>
  <si>
    <t>27,20</t>
  </si>
  <si>
    <t>45,68</t>
  </si>
  <si>
    <t>12,41</t>
  </si>
  <si>
    <t>80,75</t>
  </si>
  <si>
    <t>69,15</t>
  </si>
  <si>
    <t>47,14</t>
  </si>
  <si>
    <t>35,46</t>
  </si>
  <si>
    <t>62,50</t>
  </si>
  <si>
    <t>62,60</t>
  </si>
  <si>
    <t>43,04</t>
  </si>
  <si>
    <t>48,10</t>
  </si>
  <si>
    <t>23,80</t>
  </si>
  <si>
    <t>98,30</t>
  </si>
  <si>
    <t>46,34</t>
  </si>
  <si>
    <t>58,05</t>
  </si>
  <si>
    <t>35,30</t>
  </si>
  <si>
    <t>56,15</t>
  </si>
  <si>
    <t>46,76</t>
  </si>
  <si>
    <t>49,68</t>
  </si>
  <si>
    <t>58,75</t>
  </si>
  <si>
    <t>50,80</t>
  </si>
  <si>
    <t>145,10</t>
  </si>
  <si>
    <t>45,04</t>
  </si>
  <si>
    <t>57,75</t>
  </si>
  <si>
    <t>41,94</t>
  </si>
  <si>
    <t>1,94</t>
  </si>
  <si>
    <t>41,06</t>
  </si>
  <si>
    <t>1,53</t>
  </si>
  <si>
    <t>55,50</t>
  </si>
  <si>
    <t>84,15</t>
  </si>
  <si>
    <t>212,60</t>
  </si>
  <si>
    <t>47,28</t>
  </si>
  <si>
    <t>61,95</t>
  </si>
  <si>
    <t>101,40</t>
  </si>
  <si>
    <t>34,46</t>
  </si>
  <si>
    <t>5,96</t>
  </si>
  <si>
    <t>16,98</t>
  </si>
  <si>
    <t>55,40</t>
  </si>
  <si>
    <t>39,22</t>
  </si>
  <si>
    <t>46,54</t>
  </si>
  <si>
    <t>70,45</t>
  </si>
  <si>
    <t>49,96</t>
  </si>
  <si>
    <t>8697,50</t>
  </si>
  <si>
    <t>1,22</t>
  </si>
  <si>
    <t>18,08</t>
  </si>
  <si>
    <t>65,20</t>
  </si>
  <si>
    <t>39,40</t>
  </si>
  <si>
    <t>83,40</t>
  </si>
  <si>
    <t>1,32</t>
  </si>
  <si>
    <t>48,48</t>
  </si>
  <si>
    <t>86,55</t>
  </si>
  <si>
    <t>86,60</t>
  </si>
  <si>
    <t>39,24</t>
  </si>
  <si>
    <t>18,02</t>
  </si>
  <si>
    <t>56,65</t>
  </si>
  <si>
    <t>34,98</t>
  </si>
  <si>
    <t>14,63</t>
  </si>
  <si>
    <t>56,45</t>
  </si>
  <si>
    <t>37,20</t>
  </si>
  <si>
    <t>29,58</t>
  </si>
  <si>
    <t>40,22</t>
  </si>
  <si>
    <t>39,82</t>
  </si>
  <si>
    <t>103,00</t>
  </si>
  <si>
    <t>125,00</t>
  </si>
  <si>
    <t>34,44</t>
  </si>
  <si>
    <t>34,52</t>
  </si>
  <si>
    <t>42,66</t>
  </si>
  <si>
    <t>28,28</t>
  </si>
  <si>
    <t>77,80</t>
  </si>
  <si>
    <t>-0,51</t>
  </si>
  <si>
    <t>35,72</t>
  </si>
  <si>
    <t>43,48</t>
  </si>
  <si>
    <t>4,40</t>
  </si>
  <si>
    <t>31,16</t>
  </si>
  <si>
    <t>65,40</t>
  </si>
  <si>
    <t>50,50</t>
  </si>
  <si>
    <t>18,53</t>
  </si>
  <si>
    <t>137,20</t>
  </si>
  <si>
    <t>155,90</t>
  </si>
  <si>
    <t>121,70</t>
  </si>
  <si>
    <t>156,00</t>
  </si>
  <si>
    <t>-0,41</t>
  </si>
  <si>
    <t>116,90</t>
  </si>
  <si>
    <t>36,88</t>
  </si>
  <si>
    <t>30,16</t>
  </si>
  <si>
    <t>71,15</t>
  </si>
  <si>
    <t>97,80</t>
  </si>
  <si>
    <t>18,01</t>
  </si>
  <si>
    <t>1,42</t>
  </si>
  <si>
    <t>37,12</t>
  </si>
  <si>
    <t>51,05</t>
  </si>
  <si>
    <t>77,05</t>
  </si>
  <si>
    <t>137,00</t>
  </si>
  <si>
    <t>39,68</t>
  </si>
  <si>
    <t>86,90</t>
  </si>
  <si>
    <t>86,95</t>
  </si>
  <si>
    <t>122,00</t>
  </si>
  <si>
    <t>17,95</t>
  </si>
  <si>
    <t>44,82</t>
  </si>
  <si>
    <t>39,06</t>
  </si>
  <si>
    <t>61,40</t>
  </si>
  <si>
    <t>38,82</t>
  </si>
  <si>
    <t>81,70</t>
  </si>
  <si>
    <t>34,90</t>
  </si>
  <si>
    <t>30,28</t>
  </si>
  <si>
    <t>87,15</t>
  </si>
  <si>
    <t>3,56</t>
  </si>
  <si>
    <t>39,48</t>
  </si>
  <si>
    <t>61,90</t>
  </si>
  <si>
    <t>37,70</t>
  </si>
  <si>
    <t>42,74</t>
  </si>
  <si>
    <t>4,80</t>
  </si>
  <si>
    <t>33,16</t>
  </si>
  <si>
    <t>3,22</t>
  </si>
  <si>
    <t>2,21</t>
  </si>
  <si>
    <t>175,30</t>
  </si>
  <si>
    <t>312,50</t>
  </si>
  <si>
    <t>72,15</t>
  </si>
  <si>
    <t>37,34</t>
  </si>
  <si>
    <t>5,18</t>
  </si>
  <si>
    <t>171,00</t>
  </si>
  <si>
    <t>29,30</t>
  </si>
  <si>
    <t>2,17</t>
  </si>
  <si>
    <t>29,74</t>
  </si>
  <si>
    <t>40,06</t>
  </si>
  <si>
    <t>2,76</t>
  </si>
  <si>
    <t>12,50</t>
  </si>
  <si>
    <t>82,90</t>
  </si>
  <si>
    <t>495,75</t>
  </si>
  <si>
    <t>6,20</t>
  </si>
  <si>
    <t>220,90</t>
  </si>
  <si>
    <t>42,38</t>
  </si>
  <si>
    <t>40,02</t>
  </si>
  <si>
    <t>189,40</t>
  </si>
  <si>
    <t>36,52</t>
  </si>
  <si>
    <t>36,38</t>
  </si>
  <si>
    <t>2,74</t>
  </si>
  <si>
    <t>63,65</t>
  </si>
  <si>
    <t>59,60</t>
  </si>
  <si>
    <t>-0,84</t>
  </si>
  <si>
    <t>30,44</t>
  </si>
  <si>
    <t>74,50</t>
  </si>
  <si>
    <t>38,60</t>
  </si>
  <si>
    <t>29,92</t>
  </si>
  <si>
    <t>119,50</t>
  </si>
  <si>
    <t>13,00</t>
  </si>
  <si>
    <t>72,30</t>
  </si>
  <si>
    <t>135,00</t>
  </si>
  <si>
    <t>170,10</t>
  </si>
  <si>
    <t>28,34</t>
  </si>
  <si>
    <t>31,22</t>
  </si>
  <si>
    <t>622,00</t>
  </si>
  <si>
    <t>484,00</t>
  </si>
  <si>
    <t>228,00</t>
  </si>
  <si>
    <t>31,36</t>
  </si>
  <si>
    <t>-2,87</t>
  </si>
  <si>
    <t>254,00</t>
  </si>
  <si>
    <t>212,00</t>
  </si>
  <si>
    <t>17,00</t>
  </si>
  <si>
    <t>100,80</t>
  </si>
  <si>
    <t>109,30</t>
  </si>
  <si>
    <t>15,03</t>
  </si>
  <si>
    <t>177,80</t>
  </si>
  <si>
    <t>22,50</t>
  </si>
  <si>
    <t>2,69</t>
  </si>
  <si>
    <t>215,50</t>
  </si>
  <si>
    <t>41,44</t>
  </si>
  <si>
    <t>2,49</t>
  </si>
  <si>
    <t>2,46</t>
  </si>
  <si>
    <t>2,55</t>
  </si>
  <si>
    <t>25,50</t>
  </si>
  <si>
    <t>18,99</t>
  </si>
  <si>
    <t>35,22</t>
  </si>
  <si>
    <t>12885,00</t>
  </si>
  <si>
    <t>72,65</t>
  </si>
  <si>
    <t>2,88</t>
  </si>
  <si>
    <t>907,50</t>
  </si>
  <si>
    <t>286,50</t>
  </si>
  <si>
    <t>3,35</t>
  </si>
  <si>
    <t>3,23</t>
  </si>
  <si>
    <t>14,73</t>
  </si>
  <si>
    <t>14,77</t>
  </si>
  <si>
    <t>168,50</t>
  </si>
  <si>
    <t>31,48</t>
  </si>
  <si>
    <t>123,00</t>
  </si>
  <si>
    <t>70,30</t>
  </si>
  <si>
    <t>87,30</t>
  </si>
  <si>
    <t>33,98</t>
  </si>
  <si>
    <t>2,41</t>
  </si>
  <si>
    <t>108,40</t>
  </si>
  <si>
    <t>4,55</t>
  </si>
  <si>
    <t>18,86</t>
  </si>
  <si>
    <t>33,20</t>
  </si>
  <si>
    <t>33,80</t>
  </si>
  <si>
    <t>207,00</t>
  </si>
  <si>
    <t>99,20</t>
  </si>
  <si>
    <t>3,45</t>
  </si>
  <si>
    <t>3,63</t>
  </si>
  <si>
    <t>24,46</t>
  </si>
  <si>
    <t>24,52</t>
  </si>
  <si>
    <t>24,60</t>
  </si>
  <si>
    <t>24,66</t>
  </si>
  <si>
    <t>2,58</t>
  </si>
  <si>
    <t>18,40</t>
  </si>
  <si>
    <t>177,60</t>
  </si>
  <si>
    <t>2458,00</t>
  </si>
  <si>
    <t>8,88</t>
  </si>
  <si>
    <t>14,90</t>
  </si>
  <si>
    <t>10610,18</t>
  </si>
  <si>
    <t>10576,56</t>
  </si>
  <si>
    <t>18,79</t>
  </si>
  <si>
    <t>310,75</t>
  </si>
  <si>
    <t>35,04</t>
  </si>
  <si>
    <t>183,20</t>
  </si>
  <si>
    <t>183,30</t>
  </si>
  <si>
    <t>107,40</t>
  </si>
  <si>
    <t>31,72</t>
  </si>
  <si>
    <t>28,02</t>
  </si>
  <si>
    <t>114,90</t>
  </si>
  <si>
    <t>314,00</t>
  </si>
  <si>
    <t>27,38</t>
  </si>
  <si>
    <t>27,36</t>
  </si>
  <si>
    <t>157,80</t>
  </si>
  <si>
    <t>23,42</t>
  </si>
  <si>
    <t>33,82</t>
  </si>
  <si>
    <t>142,00</t>
  </si>
  <si>
    <t>140,20</t>
  </si>
  <si>
    <t>663,00</t>
  </si>
  <si>
    <t>671,00</t>
  </si>
  <si>
    <t>27,22</t>
  </si>
  <si>
    <t>111,00</t>
  </si>
  <si>
    <t>104,40</t>
  </si>
  <si>
    <t>358,50</t>
  </si>
  <si>
    <t>8,27</t>
  </si>
  <si>
    <t>8,28</t>
  </si>
  <si>
    <t>16,67</t>
  </si>
  <si>
    <t>9,96</t>
  </si>
  <si>
    <t>15,18</t>
  </si>
  <si>
    <t>307,00</t>
  </si>
  <si>
    <t>7,73</t>
  </si>
  <si>
    <t>1211,00</t>
  </si>
  <si>
    <t>106,00</t>
  </si>
  <si>
    <t>28,54</t>
  </si>
  <si>
    <t>ALKLC</t>
  </si>
  <si>
    <t>25,26</t>
  </si>
  <si>
    <t>22,98</t>
  </si>
  <si>
    <t>9,92</t>
  </si>
  <si>
    <t>91,85</t>
  </si>
  <si>
    <t>12,22</t>
  </si>
  <si>
    <t>12,06</t>
  </si>
  <si>
    <t>106,40</t>
  </si>
  <si>
    <t>97,10</t>
  </si>
  <si>
    <t>13,60</t>
  </si>
  <si>
    <t>12,98</t>
  </si>
  <si>
    <t>128,40</t>
  </si>
  <si>
    <t>164,10</t>
  </si>
  <si>
    <t>741,00</t>
  </si>
  <si>
    <t>9,98</t>
  </si>
  <si>
    <t>750,00</t>
  </si>
  <si>
    <t>190,50</t>
  </si>
  <si>
    <t>31,74</t>
  </si>
  <si>
    <t>434,50</t>
  </si>
  <si>
    <t>413,50</t>
  </si>
  <si>
    <t>19,54</t>
  </si>
  <si>
    <t>25,86</t>
  </si>
  <si>
    <t>25,44</t>
  </si>
  <si>
    <t>11,01</t>
  </si>
  <si>
    <t>17,15</t>
  </si>
  <si>
    <t>19,36</t>
  </si>
  <si>
    <t>26,34</t>
  </si>
  <si>
    <t>8,36</t>
  </si>
  <si>
    <t>144,00</t>
  </si>
  <si>
    <t>104,70</t>
  </si>
  <si>
    <t>5,78</t>
  </si>
  <si>
    <t>21,08</t>
  </si>
  <si>
    <t>2210,00</t>
  </si>
  <si>
    <t>2154,00</t>
  </si>
  <si>
    <t>3132,50</t>
  </si>
  <si>
    <t>131,10</t>
  </si>
  <si>
    <t>7,86</t>
  </si>
  <si>
    <t>443,25</t>
  </si>
  <si>
    <t>9,16</t>
  </si>
  <si>
    <t>8,52</t>
  </si>
  <si>
    <t>6,13</t>
  </si>
  <si>
    <t>6,14</t>
  </si>
  <si>
    <t>4,46</t>
  </si>
  <si>
    <t>7,85</t>
  </si>
  <si>
    <t>97,05</t>
  </si>
  <si>
    <t>14,43</t>
  </si>
  <si>
    <t>16,32</t>
  </si>
  <si>
    <t>16,36</t>
  </si>
  <si>
    <t>5015,00</t>
  </si>
  <si>
    <t>5030,00</t>
  </si>
  <si>
    <t>23,36</t>
  </si>
  <si>
    <t>15,20</t>
  </si>
  <si>
    <t>20,22</t>
  </si>
  <si>
    <t>200,90</t>
  </si>
  <si>
    <t>23,06</t>
  </si>
  <si>
    <t>302,00</t>
  </si>
  <si>
    <t>22,02</t>
  </si>
  <si>
    <t>10,31</t>
  </si>
  <si>
    <t>15,75</t>
  </si>
  <si>
    <t>150,40</t>
  </si>
  <si>
    <t>8,04</t>
  </si>
  <si>
    <t>25,82</t>
  </si>
  <si>
    <t>11,33</t>
  </si>
  <si>
    <t>14,32</t>
  </si>
  <si>
    <t>444,25</t>
  </si>
  <si>
    <t>425,25</t>
  </si>
  <si>
    <t>27,12</t>
  </si>
  <si>
    <t>10,90</t>
  </si>
  <si>
    <t>9,03</t>
  </si>
  <si>
    <t>12,65</t>
  </si>
  <si>
    <t>90,90</t>
  </si>
  <si>
    <t>11,48</t>
  </si>
  <si>
    <t>4,58</t>
  </si>
  <si>
    <t>4,49</t>
  </si>
  <si>
    <t>6,59</t>
  </si>
  <si>
    <t>6,35</t>
  </si>
  <si>
    <t>4,96</t>
  </si>
  <si>
    <t>14,26</t>
  </si>
  <si>
    <t>14,16</t>
  </si>
  <si>
    <t>8,79</t>
  </si>
  <si>
    <t>330,25</t>
  </si>
  <si>
    <t>329,00</t>
  </si>
  <si>
    <t>15,64</t>
  </si>
  <si>
    <t>10,13</t>
  </si>
  <si>
    <t>6,51</t>
  </si>
  <si>
    <t>12,26</t>
  </si>
  <si>
    <t>114,20</t>
  </si>
  <si>
    <t>113,30</t>
  </si>
  <si>
    <t>11,04</t>
  </si>
  <si>
    <t>11,47</t>
  </si>
  <si>
    <t>10,86</t>
  </si>
  <si>
    <t>19,95</t>
  </si>
  <si>
    <t>93,00</t>
  </si>
  <si>
    <t>25,02</t>
  </si>
  <si>
    <t>22,90</t>
  </si>
  <si>
    <t>22,18</t>
  </si>
  <si>
    <t>21,12</t>
  </si>
  <si>
    <t>9,10</t>
  </si>
  <si>
    <t>388,25</t>
  </si>
  <si>
    <t>20,42</t>
  </si>
  <si>
    <t>87,75</t>
  </si>
  <si>
    <t>4,53</t>
  </si>
  <si>
    <t>4,48</t>
  </si>
  <si>
    <t>1140,00</t>
  </si>
  <si>
    <t>26,66</t>
  </si>
  <si>
    <t>7,22</t>
  </si>
  <si>
    <t>7,11</t>
  </si>
  <si>
    <t>10,28</t>
  </si>
  <si>
    <t>95,90</t>
  </si>
  <si>
    <t>84,55</t>
  </si>
  <si>
    <t>13,84</t>
  </si>
  <si>
    <t>17,45</t>
  </si>
  <si>
    <t>75,05</t>
  </si>
  <si>
    <t>13,58</t>
  </si>
  <si>
    <t>13,16</t>
  </si>
  <si>
    <t>279,25</t>
  </si>
  <si>
    <t>2098,00</t>
  </si>
  <si>
    <t>13,34</t>
  </si>
  <si>
    <t>16,27</t>
  </si>
  <si>
    <t>7,74</t>
  </si>
  <si>
    <t>266,25</t>
  </si>
  <si>
    <t>12,54</t>
  </si>
  <si>
    <t>293,00</t>
  </si>
  <si>
    <t>6,17</t>
  </si>
  <si>
    <t>5,52</t>
  </si>
  <si>
    <t>126,00</t>
  </si>
  <si>
    <t>85,20</t>
  </si>
  <si>
    <t>16,17</t>
  </si>
  <si>
    <t>26,10</t>
  </si>
  <si>
    <t>8,43</t>
  </si>
  <si>
    <t>8,45</t>
  </si>
  <si>
    <t>318,00</t>
  </si>
  <si>
    <t>319,50</t>
  </si>
  <si>
    <t>14,22</t>
  </si>
  <si>
    <t>14,42</t>
  </si>
  <si>
    <t>13,86</t>
  </si>
  <si>
    <t>16030,00</t>
  </si>
  <si>
    <t>96,50</t>
  </si>
  <si>
    <t>194,30</t>
  </si>
  <si>
    <t>579,50</t>
  </si>
  <si>
    <t>537,00</t>
  </si>
  <si>
    <t>126,90</t>
  </si>
  <si>
    <t>11,29</t>
  </si>
  <si>
    <t>9,85</t>
  </si>
  <si>
    <t>5,26</t>
  </si>
  <si>
    <t>7,61</t>
  </si>
  <si>
    <t>96,90</t>
  </si>
  <si>
    <t>17,21</t>
  </si>
  <si>
    <t>4,23</t>
  </si>
  <si>
    <t>8550,00</t>
  </si>
  <si>
    <t>19,85</t>
  </si>
  <si>
    <t>570,00</t>
  </si>
  <si>
    <t>405,50</t>
  </si>
  <si>
    <t>3,34</t>
  </si>
  <si>
    <t>113,60</t>
  </si>
  <si>
    <t>111,30</t>
  </si>
  <si>
    <t>264,00</t>
  </si>
  <si>
    <t>262,75</t>
  </si>
  <si>
    <t>4,69</t>
  </si>
  <si>
    <t>9,26</t>
  </si>
  <si>
    <t>9,53</t>
  </si>
  <si>
    <t>6,73</t>
  </si>
  <si>
    <t>6,39</t>
  </si>
  <si>
    <t>6,60</t>
  </si>
  <si>
    <t>11,02</t>
  </si>
  <si>
    <t>8,18</t>
  </si>
  <si>
    <t>127,40</t>
  </si>
  <si>
    <t>8,59</t>
  </si>
  <si>
    <t>3,18</t>
  </si>
  <si>
    <t>88,05</t>
  </si>
  <si>
    <t>6,74</t>
  </si>
  <si>
    <t>95,25</t>
  </si>
  <si>
    <t>4,29</t>
  </si>
  <si>
    <t>8,47</t>
  </si>
  <si>
    <t>17,02</t>
  </si>
  <si>
    <t>20,26</t>
  </si>
  <si>
    <t>83,60</t>
  </si>
  <si>
    <t>2132,00</t>
  </si>
  <si>
    <t>8610,00</t>
  </si>
  <si>
    <t>23,14</t>
  </si>
  <si>
    <t>105,40</t>
  </si>
  <si>
    <t>112,20</t>
  </si>
  <si>
    <t>26,96</t>
  </si>
  <si>
    <t>5,74</t>
  </si>
  <si>
    <t>105,90</t>
  </si>
  <si>
    <t>5,02</t>
  </si>
  <si>
    <t>19,99</t>
  </si>
  <si>
    <t>124,80</t>
  </si>
  <si>
    <t>15,58</t>
  </si>
  <si>
    <t>94,90</t>
  </si>
  <si>
    <t>283,00</t>
  </si>
  <si>
    <t>15,95</t>
  </si>
  <si>
    <t>3,61</t>
  </si>
  <si>
    <t>11,81</t>
  </si>
  <si>
    <t>17,49</t>
  </si>
  <si>
    <t>143,90</t>
  </si>
  <si>
    <t>15,31</t>
  </si>
  <si>
    <t>7,02</t>
  </si>
  <si>
    <t>10,33</t>
  </si>
  <si>
    <t>19,41</t>
  </si>
  <si>
    <t>12,19</t>
  </si>
  <si>
    <t>25,58</t>
  </si>
  <si>
    <t>179,90</t>
  </si>
  <si>
    <t>21,66</t>
  </si>
  <si>
    <t>21,76</t>
  </si>
  <si>
    <t>19,98</t>
  </si>
  <si>
    <t>867,50</t>
  </si>
  <si>
    <t>131,80</t>
  </si>
  <si>
    <t>73,80</t>
  </si>
  <si>
    <t>9,34</t>
  </si>
  <si>
    <t>248,10</t>
  </si>
  <si>
    <t>14880,00</t>
  </si>
  <si>
    <t>224,70</t>
  </si>
  <si>
    <t>9500,00</t>
  </si>
  <si>
    <t>9,80</t>
  </si>
  <si>
    <t>12390,00</t>
  </si>
  <si>
    <t>237,60</t>
  </si>
  <si>
    <t>17,39</t>
  </si>
  <si>
    <t>191,10</t>
  </si>
  <si>
    <t>542,50</t>
  </si>
  <si>
    <t>1255,00</t>
  </si>
  <si>
    <t>427,00</t>
  </si>
  <si>
    <t>648,50</t>
  </si>
  <si>
    <t>211,80</t>
  </si>
  <si>
    <t>13,13</t>
  </si>
  <si>
    <t>0,85</t>
  </si>
  <si>
    <t>347,00</t>
  </si>
  <si>
    <t>-1,82</t>
  </si>
  <si>
    <t>8,65</t>
  </si>
  <si>
    <t>65,05</t>
  </si>
  <si>
    <t>133,90</t>
  </si>
  <si>
    <t>2,37</t>
  </si>
  <si>
    <t>306,00</t>
  </si>
  <si>
    <t>311,50</t>
  </si>
  <si>
    <t>299,25</t>
  </si>
  <si>
    <t>46,70</t>
  </si>
  <si>
    <t>46,04</t>
  </si>
  <si>
    <t>7,29</t>
  </si>
  <si>
    <t>1331,00</t>
  </si>
  <si>
    <t>73,50</t>
  </si>
  <si>
    <t>114,50</t>
  </si>
  <si>
    <t>176,00</t>
  </si>
  <si>
    <t>40,16</t>
  </si>
  <si>
    <t>16,82</t>
  </si>
  <si>
    <t>38,80</t>
  </si>
  <si>
    <t>99,30</t>
  </si>
  <si>
    <t>3,38</t>
  </si>
  <si>
    <t>3,40</t>
  </si>
  <si>
    <t>2,51</t>
  </si>
  <si>
    <t>182,40</t>
  </si>
  <si>
    <t>86,15</t>
  </si>
  <si>
    <t>1,69</t>
  </si>
  <si>
    <t>3,39</t>
  </si>
  <si>
    <t>32,72</t>
  </si>
  <si>
    <t>37,32</t>
  </si>
  <si>
    <t>31,78</t>
  </si>
  <si>
    <t>475,00</t>
  </si>
  <si>
    <t>13,50</t>
  </si>
  <si>
    <t>39,46</t>
  </si>
  <si>
    <t>19,22</t>
  </si>
  <si>
    <t>2685,00</t>
  </si>
  <si>
    <t>4,39</t>
  </si>
  <si>
    <t>134,60</t>
  </si>
  <si>
    <t>-1,31</t>
  </si>
  <si>
    <t>27,50</t>
  </si>
  <si>
    <t>3,24</t>
  </si>
  <si>
    <t>787,00</t>
  </si>
  <si>
    <t>-0,81</t>
  </si>
  <si>
    <t>24,40</t>
  </si>
  <si>
    <t>229,60</t>
  </si>
  <si>
    <t>20,94</t>
  </si>
  <si>
    <t>9,00</t>
  </si>
  <si>
    <t>33,46</t>
  </si>
  <si>
    <t>13,96</t>
  </si>
  <si>
    <t>17,80</t>
  </si>
  <si>
    <t>0,69</t>
  </si>
  <si>
    <t>0,57</t>
  </si>
  <si>
    <t>42,54</t>
  </si>
  <si>
    <t>59,35</t>
  </si>
  <si>
    <t>171,70</t>
  </si>
  <si>
    <t>40,86</t>
  </si>
  <si>
    <t>10,81</t>
  </si>
  <si>
    <t>15,50</t>
  </si>
  <si>
    <t>323,75</t>
  </si>
  <si>
    <t>3,19</t>
  </si>
  <si>
    <t>3,10</t>
  </si>
  <si>
    <t>-1,55</t>
  </si>
  <si>
    <t>103,90</t>
  </si>
  <si>
    <t>27,74</t>
  </si>
  <si>
    <t>4,43</t>
  </si>
  <si>
    <t>15,45</t>
  </si>
  <si>
    <t>24,00</t>
  </si>
  <si>
    <t>60,55</t>
  </si>
  <si>
    <t>43,36</t>
  </si>
  <si>
    <t>2,01</t>
  </si>
  <si>
    <t>11,65</t>
  </si>
  <si>
    <t>11,68</t>
  </si>
  <si>
    <t>11,85</t>
  </si>
  <si>
    <t>56,75</t>
  </si>
  <si>
    <t>28,36</t>
  </si>
  <si>
    <t>4,73</t>
  </si>
  <si>
    <t>18,64</t>
  </si>
  <si>
    <t>64,65</t>
  </si>
  <si>
    <t>15,13</t>
  </si>
  <si>
    <t>4,92</t>
  </si>
  <si>
    <t>1,55</t>
  </si>
  <si>
    <t>8,66</t>
  </si>
  <si>
    <t>263,75</t>
  </si>
  <si>
    <t>42,76</t>
  </si>
  <si>
    <t>331,00</t>
  </si>
  <si>
    <t>331,75</t>
  </si>
  <si>
    <t>39,44</t>
  </si>
  <si>
    <t>3,08</t>
  </si>
  <si>
    <t>9,95</t>
  </si>
  <si>
    <t>33,76</t>
  </si>
  <si>
    <t>12,16</t>
  </si>
  <si>
    <t>14,27</t>
  </si>
  <si>
    <t>0,59</t>
  </si>
  <si>
    <t>37,42</t>
  </si>
  <si>
    <t>-0,37</t>
  </si>
  <si>
    <t>23,84</t>
  </si>
  <si>
    <t>49,88</t>
  </si>
  <si>
    <t>52,10</t>
  </si>
  <si>
    <t>-6,00</t>
  </si>
  <si>
    <t>8870,00</t>
  </si>
  <si>
    <t>1,49</t>
  </si>
  <si>
    <t>24,62</t>
  </si>
  <si>
    <t>20,76</t>
  </si>
  <si>
    <t>28,12</t>
  </si>
  <si>
    <t>51,95</t>
  </si>
  <si>
    <t>85,25</t>
  </si>
  <si>
    <t>3,77</t>
  </si>
  <si>
    <t>23,08</t>
  </si>
  <si>
    <t>8,93</t>
  </si>
  <si>
    <t>3,47</t>
  </si>
  <si>
    <t>99,00</t>
  </si>
  <si>
    <t>2,80</t>
  </si>
  <si>
    <t>3,90</t>
  </si>
  <si>
    <t>11,80</t>
  </si>
  <si>
    <t>15,36</t>
  </si>
  <si>
    <t>5,70</t>
  </si>
  <si>
    <t>8,05</t>
  </si>
  <si>
    <t>47,26</t>
  </si>
  <si>
    <t>147,40</t>
  </si>
  <si>
    <t>34,14</t>
  </si>
  <si>
    <t>13,08</t>
  </si>
  <si>
    <t>2,06</t>
  </si>
  <si>
    <t>88,40</t>
  </si>
  <si>
    <t>28,06</t>
  </si>
  <si>
    <t>-1,12</t>
  </si>
  <si>
    <t>81,75</t>
  </si>
  <si>
    <t>21,50</t>
  </si>
  <si>
    <t>32,18</t>
  </si>
  <si>
    <t>11,57</t>
  </si>
  <si>
    <t>40,90</t>
  </si>
  <si>
    <t>48,76</t>
  </si>
  <si>
    <t>47,08</t>
  </si>
  <si>
    <t>40,30</t>
  </si>
  <si>
    <t>97,35</t>
  </si>
  <si>
    <t>-1,30</t>
  </si>
  <si>
    <t>62,05</t>
  </si>
  <si>
    <t>61,55</t>
  </si>
  <si>
    <t>2,12</t>
  </si>
  <si>
    <t>4,94</t>
  </si>
  <si>
    <t>8,95</t>
  </si>
  <si>
    <t>20,08</t>
  </si>
  <si>
    <t>5,10</t>
  </si>
  <si>
    <t>5,09</t>
  </si>
  <si>
    <t>5,07</t>
  </si>
  <si>
    <t>-1,16</t>
  </si>
  <si>
    <t>5,72</t>
  </si>
  <si>
    <t>15,00</t>
  </si>
  <si>
    <t>186,80</t>
  </si>
  <si>
    <t>478,25</t>
  </si>
  <si>
    <t>29,50</t>
  </si>
  <si>
    <t>29,48</t>
  </si>
  <si>
    <t>25,20</t>
  </si>
  <si>
    <t>-2,09</t>
  </si>
  <si>
    <t>41,32</t>
  </si>
  <si>
    <t>3,68</t>
  </si>
  <si>
    <t>28,40</t>
  </si>
  <si>
    <t>7,64</t>
  </si>
  <si>
    <t>69,90</t>
  </si>
  <si>
    <t>605,00</t>
  </si>
  <si>
    <t>633,00</t>
  </si>
  <si>
    <t>27,76</t>
  </si>
  <si>
    <t>16,14</t>
  </si>
  <si>
    <t>19,44</t>
  </si>
  <si>
    <t>269,50</t>
  </si>
  <si>
    <t>3,02</t>
  </si>
  <si>
    <t>12,20</t>
  </si>
  <si>
    <t>7,78</t>
  </si>
  <si>
    <t>-2,75</t>
  </si>
  <si>
    <t>34,40</t>
  </si>
  <si>
    <t>2,65</t>
  </si>
  <si>
    <t>13,80</t>
  </si>
  <si>
    <t>305,75</t>
  </si>
  <si>
    <t>4,75</t>
  </si>
  <si>
    <t>2,32</t>
  </si>
  <si>
    <t>-0,57</t>
  </si>
  <si>
    <t>6,81</t>
  </si>
  <si>
    <t>-0,47</t>
  </si>
  <si>
    <t>35,70</t>
  </si>
  <si>
    <t>30,08</t>
  </si>
  <si>
    <t>2,15</t>
  </si>
  <si>
    <t>46,38</t>
  </si>
  <si>
    <t>21,18</t>
  </si>
  <si>
    <t>31,00</t>
  </si>
  <si>
    <t>131,60</t>
  </si>
  <si>
    <t>2,47</t>
  </si>
  <si>
    <t>-0,92</t>
  </si>
  <si>
    <t>222,30</t>
  </si>
  <si>
    <t>3,04</t>
  </si>
  <si>
    <t>1,72</t>
  </si>
  <si>
    <t>25,22</t>
  </si>
  <si>
    <t>39,42</t>
  </si>
  <si>
    <t>2,83</t>
  </si>
  <si>
    <t>21,52</t>
  </si>
  <si>
    <t>88,00</t>
  </si>
  <si>
    <t>54,70</t>
  </si>
  <si>
    <t>6,69</t>
  </si>
  <si>
    <t>10,29</t>
  </si>
  <si>
    <t>108,00</t>
  </si>
  <si>
    <t>-3,00</t>
  </si>
  <si>
    <t>68,00</t>
  </si>
  <si>
    <t>-1,92</t>
  </si>
  <si>
    <t>-1,69</t>
  </si>
  <si>
    <t>34,60</t>
  </si>
  <si>
    <t>93,75</t>
  </si>
  <si>
    <t>2,67</t>
  </si>
  <si>
    <t>6,18</t>
  </si>
  <si>
    <t>48,82</t>
  </si>
  <si>
    <t>6,15</t>
  </si>
  <si>
    <t>3,67</t>
  </si>
  <si>
    <t>-2,92</t>
  </si>
  <si>
    <t>2,19</t>
  </si>
  <si>
    <t>135,20</t>
  </si>
  <si>
    <t>16,92</t>
  </si>
  <si>
    <t>16,65</t>
  </si>
  <si>
    <t>31,30</t>
  </si>
  <si>
    <t>14,23</t>
  </si>
  <si>
    <t>4,79</t>
  </si>
  <si>
    <t>21,86</t>
  </si>
  <si>
    <t>25,56</t>
  </si>
  <si>
    <t>113,80</t>
  </si>
  <si>
    <t>113,90</t>
  </si>
  <si>
    <t>25,60</t>
  </si>
  <si>
    <t>25,72</t>
  </si>
  <si>
    <t>-0,63</t>
  </si>
  <si>
    <t>86,45</t>
  </si>
  <si>
    <t>25,04</t>
  </si>
  <si>
    <t>29,14</t>
  </si>
  <si>
    <t>44,28</t>
  </si>
  <si>
    <t>57,25</t>
  </si>
  <si>
    <t>-1,35</t>
  </si>
  <si>
    <t>-1,34</t>
  </si>
  <si>
    <t>20,60</t>
  </si>
  <si>
    <t>35,56</t>
  </si>
  <si>
    <t>-1,06</t>
  </si>
  <si>
    <t>44,30</t>
  </si>
  <si>
    <t>24,18</t>
  </si>
  <si>
    <t>104,30</t>
  </si>
  <si>
    <t>47,60</t>
  </si>
  <si>
    <t>17,38</t>
  </si>
  <si>
    <t>120,70</t>
  </si>
  <si>
    <t>46,14</t>
  </si>
  <si>
    <t>46,74</t>
  </si>
  <si>
    <t>11,90</t>
  </si>
  <si>
    <t>10,40</t>
  </si>
  <si>
    <t>26,48</t>
  </si>
  <si>
    <t>3,78</t>
  </si>
  <si>
    <t>2,73</t>
  </si>
  <si>
    <t>598,00</t>
  </si>
  <si>
    <t>5,25</t>
  </si>
  <si>
    <t>59,15</t>
  </si>
  <si>
    <t>41,30</t>
  </si>
  <si>
    <t>9,11</t>
  </si>
  <si>
    <t>317,00</t>
  </si>
  <si>
    <t>11,30</t>
  </si>
  <si>
    <t>45,84</t>
  </si>
  <si>
    <t>5,44</t>
  </si>
  <si>
    <t>8,91</t>
  </si>
  <si>
    <t>-3,87</t>
  </si>
  <si>
    <t>26,42</t>
  </si>
  <si>
    <t>23,34</t>
  </si>
  <si>
    <t>32,74</t>
  </si>
  <si>
    <t>17,16</t>
  </si>
  <si>
    <t>25,94</t>
  </si>
  <si>
    <t>6,83</t>
  </si>
  <si>
    <t>88,85</t>
  </si>
  <si>
    <t>40,72</t>
  </si>
  <si>
    <t>84,75</t>
  </si>
  <si>
    <t>30,18</t>
  </si>
  <si>
    <t>55,55</t>
  </si>
  <si>
    <t>-9,95</t>
  </si>
  <si>
    <t>10,48</t>
  </si>
  <si>
    <t>9,20</t>
  </si>
  <si>
    <t>99,95</t>
  </si>
  <si>
    <t>55,75</t>
  </si>
  <si>
    <t>185,00</t>
  </si>
  <si>
    <t>16,18</t>
  </si>
  <si>
    <t>12,52</t>
  </si>
  <si>
    <t>145,40</t>
  </si>
  <si>
    <t>19,93</t>
  </si>
  <si>
    <t>42,34</t>
  </si>
  <si>
    <t>7,53</t>
  </si>
  <si>
    <t>-11,00</t>
  </si>
  <si>
    <t>144,20</t>
  </si>
  <si>
    <t>30,30</t>
  </si>
  <si>
    <t>4,60</t>
  </si>
  <si>
    <t>3,28</t>
  </si>
  <si>
    <t>-0,46</t>
  </si>
  <si>
    <t>-0,56</t>
  </si>
  <si>
    <t>-1,09</t>
  </si>
  <si>
    <t>8,58</t>
  </si>
  <si>
    <t>-1,75</t>
  </si>
  <si>
    <t>3,48</t>
  </si>
  <si>
    <t>-1,23</t>
  </si>
  <si>
    <t>-5,77</t>
  </si>
  <si>
    <t>-0,68</t>
  </si>
  <si>
    <t>2,50</t>
  </si>
  <si>
    <t>1,24</t>
  </si>
  <si>
    <t>2,66</t>
  </si>
  <si>
    <t>5,00</t>
  </si>
  <si>
    <t>38,02</t>
  </si>
  <si>
    <t>135,50</t>
  </si>
  <si>
    <t>297,00</t>
  </si>
  <si>
    <t>-2,78</t>
  </si>
  <si>
    <t>2149,00</t>
  </si>
  <si>
    <t>-0,74</t>
  </si>
  <si>
    <t>20,56</t>
  </si>
  <si>
    <t>1,01</t>
  </si>
  <si>
    <t>29,40</t>
  </si>
  <si>
    <t>1,80</t>
  </si>
  <si>
    <t>1,71</t>
  </si>
  <si>
    <t>2,35</t>
  </si>
  <si>
    <t>-3,84</t>
  </si>
  <si>
    <t>24,84</t>
  </si>
  <si>
    <t>1,97</t>
  </si>
  <si>
    <t>1,98</t>
  </si>
  <si>
    <t>2,03</t>
  </si>
  <si>
    <t>2,34</t>
  </si>
  <si>
    <t>2,22</t>
  </si>
  <si>
    <t>37,30</t>
  </si>
  <si>
    <t>13,35</t>
  </si>
  <si>
    <t>10,82</t>
  </si>
  <si>
    <t>1,68</t>
  </si>
  <si>
    <t>21,96</t>
  </si>
  <si>
    <t>5,75</t>
  </si>
  <si>
    <t>17,25</t>
  </si>
  <si>
    <t>2,13</t>
  </si>
  <si>
    <t>106,20</t>
  </si>
  <si>
    <t>-2,40</t>
  </si>
  <si>
    <t>-2,21</t>
  </si>
  <si>
    <t>5,27</t>
  </si>
  <si>
    <t>58,70</t>
  </si>
  <si>
    <t>58,60</t>
  </si>
  <si>
    <t>-0,65</t>
  </si>
  <si>
    <t>12,99</t>
  </si>
  <si>
    <t>-1,01</t>
  </si>
  <si>
    <t>4,38</t>
  </si>
  <si>
    <t>15,35</t>
  </si>
  <si>
    <t>-9,76</t>
  </si>
  <si>
    <t>1,19</t>
  </si>
  <si>
    <t>52,05</t>
  </si>
  <si>
    <t>2,20</t>
  </si>
  <si>
    <t>4,17</t>
  </si>
  <si>
    <t>116,80</t>
  </si>
  <si>
    <t>-1,00</t>
  </si>
  <si>
    <t>-0,58</t>
  </si>
  <si>
    <t>-1,79</t>
  </si>
  <si>
    <t>6,21</t>
  </si>
  <si>
    <t>6,23</t>
  </si>
  <si>
    <t>59,45</t>
  </si>
  <si>
    <t>59,50</t>
  </si>
  <si>
    <t>25,78</t>
  </si>
  <si>
    <t>28,32</t>
  </si>
  <si>
    <t>4,06</t>
  </si>
  <si>
    <t>30,84</t>
  </si>
  <si>
    <t>408,00</t>
  </si>
  <si>
    <t>100,00</t>
  </si>
  <si>
    <t>21,22</t>
  </si>
  <si>
    <t>2,81</t>
  </si>
  <si>
    <t>3,85</t>
  </si>
  <si>
    <t>7,32</t>
  </si>
  <si>
    <t>5,05</t>
  </si>
  <si>
    <t>6,76</t>
  </si>
  <si>
    <t>5,79</t>
  </si>
  <si>
    <t>19,38</t>
  </si>
  <si>
    <t>3,03</t>
  </si>
  <si>
    <t>-1,25</t>
  </si>
  <si>
    <t>-1,87</t>
  </si>
  <si>
    <t>3,14</t>
  </si>
  <si>
    <t>-0,23</t>
  </si>
  <si>
    <t>-3,60</t>
  </si>
  <si>
    <t>-2,90</t>
  </si>
  <si>
    <t>8,03</t>
  </si>
  <si>
    <t>6,48</t>
  </si>
  <si>
    <t>14,88</t>
  </si>
  <si>
    <t>87,25</t>
  </si>
  <si>
    <t>23,88</t>
  </si>
  <si>
    <t>93,80</t>
  </si>
  <si>
    <t>3,74</t>
  </si>
  <si>
    <t>117,90</t>
  </si>
  <si>
    <t>40,24</t>
  </si>
  <si>
    <t>40,28</t>
  </si>
  <si>
    <t>44,34</t>
  </si>
  <si>
    <t>-2,85</t>
  </si>
  <si>
    <t>-4,38</t>
  </si>
  <si>
    <t>49,04</t>
  </si>
  <si>
    <t>48,78</t>
  </si>
  <si>
    <t>-1,81</t>
  </si>
  <si>
    <t>-1,10</t>
  </si>
  <si>
    <t>-1,27</t>
  </si>
  <si>
    <t>-1,46</t>
  </si>
  <si>
    <t>28,38</t>
  </si>
  <si>
    <t>-0,85</t>
  </si>
  <si>
    <t>4,10</t>
  </si>
  <si>
    <t>149,90</t>
  </si>
  <si>
    <t>150,00</t>
  </si>
  <si>
    <t>5,30</t>
  </si>
  <si>
    <t>36,72</t>
  </si>
  <si>
    <t>-3,05</t>
  </si>
  <si>
    <t>-3,80</t>
  </si>
  <si>
    <t>11,49</t>
  </si>
  <si>
    <t>3,49</t>
  </si>
  <si>
    <t>28,30</t>
  </si>
  <si>
    <t>-2,41</t>
  </si>
  <si>
    <t>36,82</t>
  </si>
  <si>
    <t>4,91</t>
  </si>
  <si>
    <t>31,18</t>
  </si>
  <si>
    <t>-1,38</t>
  </si>
  <si>
    <t>-2,03</t>
  </si>
  <si>
    <t>-0,64</t>
  </si>
  <si>
    <t>30,10</t>
  </si>
  <si>
    <t>18,50</t>
  </si>
  <si>
    <t>81,10</t>
  </si>
  <si>
    <t>2,82</t>
  </si>
  <si>
    <t>40,88</t>
  </si>
  <si>
    <t>-1,58</t>
  </si>
  <si>
    <t>-0,94</t>
  </si>
  <si>
    <t>2,16</t>
  </si>
  <si>
    <t>80,95</t>
  </si>
  <si>
    <t>-1,11</t>
  </si>
  <si>
    <t>-6,40</t>
  </si>
  <si>
    <t>2,78</t>
  </si>
  <si>
    <t>1,23</t>
  </si>
  <si>
    <t>12,51</t>
  </si>
  <si>
    <t>-1,66</t>
  </si>
  <si>
    <t>6,87</t>
  </si>
  <si>
    <t>3,27</t>
  </si>
  <si>
    <t>0,91</t>
  </si>
  <si>
    <t>-1,99</t>
  </si>
  <si>
    <t>30,80</t>
  </si>
  <si>
    <t>-2,27</t>
  </si>
  <si>
    <t>7,45</t>
  </si>
  <si>
    <t>5,40</t>
  </si>
  <si>
    <t>-3,25</t>
  </si>
  <si>
    <t>607,50</t>
  </si>
  <si>
    <t>19,34</t>
  </si>
  <si>
    <t>180,00</t>
  </si>
  <si>
    <t>2,86</t>
  </si>
  <si>
    <t>40,48</t>
  </si>
  <si>
    <t>-0,83</t>
  </si>
  <si>
    <t>32,32</t>
  </si>
  <si>
    <t>2148,00</t>
  </si>
  <si>
    <t>-2,60</t>
  </si>
  <si>
    <t>5,11</t>
  </si>
  <si>
    <t>27,18</t>
  </si>
  <si>
    <t>-2,02</t>
  </si>
  <si>
    <t>35,78</t>
  </si>
  <si>
    <t>7,97</t>
  </si>
  <si>
    <t>25,14</t>
  </si>
  <si>
    <t>6,70</t>
  </si>
  <si>
    <t>-0,19</t>
  </si>
  <si>
    <t>36,92</t>
  </si>
  <si>
    <t>2,05</t>
  </si>
  <si>
    <t>27,10</t>
  </si>
  <si>
    <t>0,79</t>
  </si>
  <si>
    <t>-1,49</t>
  </si>
  <si>
    <t>-0,72</t>
  </si>
  <si>
    <t>13,72</t>
  </si>
  <si>
    <t>31,34</t>
  </si>
  <si>
    <t>19,43</t>
  </si>
  <si>
    <t>-0,82</t>
  </si>
  <si>
    <t>51,90</t>
  </si>
  <si>
    <t>42,90</t>
  </si>
  <si>
    <t>19,42</t>
  </si>
  <si>
    <t>-2,11</t>
  </si>
  <si>
    <t>97,70</t>
  </si>
  <si>
    <t>62,35</t>
  </si>
  <si>
    <t>27,60</t>
  </si>
  <si>
    <t>-2,20</t>
  </si>
  <si>
    <t>-0,77</t>
  </si>
  <si>
    <t>40,82</t>
  </si>
  <si>
    <t>7,41</t>
  </si>
  <si>
    <t>8,00</t>
  </si>
  <si>
    <t>2,45</t>
  </si>
  <si>
    <t>0,77</t>
  </si>
  <si>
    <t>14,37</t>
  </si>
  <si>
    <t>-1,17</t>
  </si>
  <si>
    <t>32,76</t>
  </si>
  <si>
    <t>4,13</t>
  </si>
  <si>
    <t>-4,10</t>
  </si>
  <si>
    <t>16,13</t>
  </si>
  <si>
    <t>97,75</t>
  </si>
  <si>
    <t>297,25</t>
  </si>
  <si>
    <t>16,61</t>
  </si>
  <si>
    <t>4,87</t>
  </si>
  <si>
    <t>34,08</t>
  </si>
  <si>
    <t>85,00</t>
  </si>
  <si>
    <t>97,65</t>
  </si>
  <si>
    <t>10,47</t>
  </si>
  <si>
    <t>33,94</t>
  </si>
  <si>
    <t>29,12</t>
  </si>
  <si>
    <t>29,24</t>
  </si>
  <si>
    <t>10,46</t>
  </si>
  <si>
    <t>-0,91</t>
  </si>
  <si>
    <t>-0,35</t>
  </si>
  <si>
    <t>-2,44</t>
  </si>
  <si>
    <t>10,45</t>
  </si>
  <si>
    <t>-0,98</t>
  </si>
  <si>
    <t>14,36</t>
  </si>
  <si>
    <t>23,10</t>
  </si>
  <si>
    <t>60,50</t>
  </si>
  <si>
    <t>44,36</t>
  </si>
  <si>
    <t>44,40</t>
  </si>
  <si>
    <t>2,02</t>
  </si>
  <si>
    <t>17,12</t>
  </si>
  <si>
    <t>17,11</t>
  </si>
  <si>
    <t>-2,32</t>
  </si>
  <si>
    <t>305,25</t>
  </si>
  <si>
    <t>62,20</t>
  </si>
  <si>
    <t>-2,24</t>
  </si>
  <si>
    <t>-5,00</t>
  </si>
  <si>
    <t>13,32</t>
  </si>
  <si>
    <t>26,98</t>
  </si>
  <si>
    <t>15,91</t>
  </si>
  <si>
    <t>13,85</t>
  </si>
  <si>
    <t>137,60</t>
  </si>
  <si>
    <t>40,46</t>
  </si>
  <si>
    <t>120,00</t>
  </si>
  <si>
    <t>261,50</t>
  </si>
  <si>
    <t>4,05</t>
  </si>
  <si>
    <t>42,84</t>
  </si>
  <si>
    <t>3,86</t>
  </si>
  <si>
    <t>607,00</t>
  </si>
  <si>
    <t>11,58</t>
  </si>
  <si>
    <t>17,24</t>
  </si>
  <si>
    <t>184,00</t>
  </si>
  <si>
    <t>4,24</t>
  </si>
  <si>
    <t>10,93</t>
  </si>
  <si>
    <t>3,20</t>
  </si>
  <si>
    <t>12,24</t>
  </si>
  <si>
    <t>98,00</t>
  </si>
  <si>
    <t>35,50</t>
  </si>
  <si>
    <t>6,42</t>
  </si>
  <si>
    <t>88,55</t>
  </si>
  <si>
    <t>-1,22</t>
  </si>
  <si>
    <t>60,25</t>
  </si>
  <si>
    <t>27,42</t>
  </si>
  <si>
    <t>14,92</t>
  </si>
  <si>
    <t>183,70</t>
  </si>
  <si>
    <t>6,49</t>
  </si>
  <si>
    <t>-0,75</t>
  </si>
  <si>
    <t>116,30</t>
  </si>
  <si>
    <t>1,63</t>
  </si>
  <si>
    <t>119,30</t>
  </si>
  <si>
    <t>65,60</t>
  </si>
  <si>
    <t>118,90</t>
  </si>
  <si>
    <t>49,06</t>
  </si>
  <si>
    <t>-0,87</t>
  </si>
  <si>
    <t>34,20</t>
  </si>
  <si>
    <t>65,70</t>
  </si>
  <si>
    <t>-2,23</t>
  </si>
  <si>
    <t>-1,45</t>
  </si>
  <si>
    <t>34,28</t>
  </si>
  <si>
    <t>-3,96</t>
  </si>
  <si>
    <t>24,86</t>
  </si>
  <si>
    <t>6,24</t>
  </si>
  <si>
    <t>4,26</t>
  </si>
  <si>
    <t>4,33</t>
  </si>
  <si>
    <t>81,80</t>
  </si>
  <si>
    <t>50,55</t>
  </si>
  <si>
    <t>492,00</t>
  </si>
  <si>
    <t>23,86</t>
  </si>
  <si>
    <t>19,94</t>
  </si>
  <si>
    <t>6,10</t>
  </si>
  <si>
    <t>117,80</t>
  </si>
  <si>
    <t>83,75</t>
  </si>
  <si>
    <t>181,30</t>
  </si>
  <si>
    <t>-4,75</t>
  </si>
  <si>
    <t>4,47</t>
  </si>
  <si>
    <t>21,94</t>
  </si>
  <si>
    <t>19,49</t>
  </si>
  <si>
    <t>3,94</t>
  </si>
  <si>
    <t>8,76</t>
  </si>
  <si>
    <t>407,25</t>
  </si>
  <si>
    <t>15,04</t>
  </si>
  <si>
    <t>2,84</t>
  </si>
  <si>
    <t>-2,88</t>
  </si>
  <si>
    <t>540,00</t>
  </si>
  <si>
    <t>62,10</t>
  </si>
  <si>
    <t>5,04</t>
  </si>
  <si>
    <t>22,94</t>
  </si>
  <si>
    <t>15,40</t>
  </si>
  <si>
    <t>27,40</t>
  </si>
  <si>
    <t>126,40</t>
  </si>
  <si>
    <t>126,30</t>
  </si>
  <si>
    <t>126,50</t>
  </si>
  <si>
    <t>28,68</t>
  </si>
  <si>
    <t>-0,89</t>
  </si>
  <si>
    <t>1,99</t>
  </si>
  <si>
    <t>-4,50</t>
  </si>
  <si>
    <t>-4,25</t>
  </si>
  <si>
    <t>493,00</t>
  </si>
  <si>
    <t>493,25</t>
  </si>
  <si>
    <t>4,67</t>
  </si>
  <si>
    <t>9,48</t>
  </si>
  <si>
    <t>8,68</t>
  </si>
  <si>
    <t>17,06</t>
  </si>
  <si>
    <t>32,44</t>
  </si>
  <si>
    <t>35,98</t>
  </si>
  <si>
    <t>13,36</t>
  </si>
  <si>
    <t>-1,47</t>
  </si>
  <si>
    <t>8,61</t>
  </si>
  <si>
    <t>50,40</t>
  </si>
  <si>
    <t>318,25</t>
  </si>
  <si>
    <t>31,58</t>
  </si>
  <si>
    <t>7,10</t>
  </si>
  <si>
    <t>44,20</t>
  </si>
  <si>
    <t>24,26</t>
  </si>
  <si>
    <t>36,74</t>
  </si>
  <si>
    <t>11,44</t>
  </si>
  <si>
    <t>7,89</t>
  </si>
  <si>
    <t>47,32</t>
  </si>
  <si>
    <t>25,18</t>
  </si>
  <si>
    <t>7,52</t>
  </si>
  <si>
    <t>24,16</t>
  </si>
  <si>
    <t>11,15</t>
  </si>
  <si>
    <t>17,36</t>
  </si>
  <si>
    <t>14,29</t>
  </si>
  <si>
    <t>12,70</t>
  </si>
  <si>
    <t>20,66</t>
  </si>
  <si>
    <t>20,04</t>
  </si>
  <si>
    <t>5,54</t>
  </si>
  <si>
    <t>36,58</t>
  </si>
  <si>
    <t>1,61</t>
  </si>
  <si>
    <t>-3,10</t>
  </si>
  <si>
    <t>-4,77</t>
  </si>
  <si>
    <t>47,06</t>
  </si>
  <si>
    <t>28,96</t>
  </si>
  <si>
    <t>41,04</t>
  </si>
  <si>
    <t>47,44</t>
  </si>
  <si>
    <t>3,54</t>
  </si>
  <si>
    <t>41,02</t>
  </si>
  <si>
    <t>36,62</t>
  </si>
  <si>
    <t>43,50</t>
  </si>
  <si>
    <t>30,38</t>
  </si>
  <si>
    <t>30,36</t>
  </si>
  <si>
    <t>10,19</t>
  </si>
  <si>
    <t>261,75</t>
  </si>
  <si>
    <t>61,20</t>
  </si>
  <si>
    <t>59,25</t>
  </si>
  <si>
    <t>78,00</t>
  </si>
  <si>
    <t>12,93</t>
  </si>
  <si>
    <t>47,56</t>
  </si>
  <si>
    <t>3,58</t>
  </si>
  <si>
    <t>144,40</t>
  </si>
  <si>
    <t>31,28</t>
  </si>
  <si>
    <t>-2,47</t>
  </si>
  <si>
    <t>-1,68</t>
  </si>
  <si>
    <t>14,89</t>
  </si>
  <si>
    <t>33,96</t>
  </si>
  <si>
    <t>114,60</t>
  </si>
  <si>
    <t>20,24</t>
  </si>
  <si>
    <t>26,00</t>
  </si>
  <si>
    <t>49,20</t>
  </si>
  <si>
    <t>137,30</t>
  </si>
  <si>
    <t>-9,00</t>
  </si>
  <si>
    <t>150,80</t>
  </si>
  <si>
    <t>499,00</t>
  </si>
  <si>
    <t>49,18</t>
  </si>
  <si>
    <t>69,05</t>
  </si>
  <si>
    <t>15,77</t>
  </si>
  <si>
    <t>-2,57</t>
  </si>
  <si>
    <t>25,52</t>
  </si>
  <si>
    <t>48,08</t>
  </si>
  <si>
    <t>30,64</t>
  </si>
  <si>
    <t>16,77</t>
  </si>
  <si>
    <t>48,94</t>
  </si>
  <si>
    <t>25,98</t>
  </si>
  <si>
    <t>11,42</t>
  </si>
  <si>
    <t>-0,53</t>
  </si>
  <si>
    <t>25,74</t>
  </si>
  <si>
    <t>83,95</t>
  </si>
  <si>
    <t>5,68</t>
  </si>
  <si>
    <t>41,34</t>
  </si>
  <si>
    <t>121,10</t>
  </si>
  <si>
    <t>31,90</t>
  </si>
  <si>
    <t>35,42</t>
  </si>
  <si>
    <t>606,00</t>
  </si>
  <si>
    <t>69,30</t>
  </si>
  <si>
    <t>69,35</t>
  </si>
  <si>
    <t>48,90</t>
  </si>
  <si>
    <t>28,42</t>
  </si>
  <si>
    <t>-9,91</t>
  </si>
  <si>
    <t>32,00</t>
  </si>
  <si>
    <t>1,67</t>
  </si>
  <si>
    <t>12,15</t>
  </si>
  <si>
    <t>50,00</t>
  </si>
  <si>
    <t>15,79</t>
  </si>
  <si>
    <t>15,25</t>
  </si>
  <si>
    <t>25,66</t>
  </si>
  <si>
    <t>25,80</t>
  </si>
  <si>
    <t>20,84</t>
  </si>
  <si>
    <t>9,32</t>
  </si>
  <si>
    <t>9,39</t>
  </si>
  <si>
    <t>-3,70</t>
  </si>
  <si>
    <t>5,37</t>
  </si>
  <si>
    <t>20,74</t>
  </si>
  <si>
    <t>6,65</t>
  </si>
  <si>
    <t>37,40</t>
  </si>
  <si>
    <t>6,45</t>
  </si>
  <si>
    <t>37,38</t>
  </si>
  <si>
    <t>5,59</t>
  </si>
  <si>
    <t>-3,30</t>
  </si>
  <si>
    <t>113,70</t>
  </si>
  <si>
    <t>80,70</t>
  </si>
  <si>
    <t>4,19</t>
  </si>
  <si>
    <t>-3,91</t>
  </si>
  <si>
    <t>289,50</t>
  </si>
  <si>
    <t>80,55</t>
  </si>
  <si>
    <t>29,42</t>
  </si>
  <si>
    <t>11,84</t>
  </si>
  <si>
    <t>-3,19</t>
  </si>
  <si>
    <t>8750,00</t>
  </si>
  <si>
    <t>56,50</t>
  </si>
  <si>
    <t>14,10</t>
  </si>
  <si>
    <t>-3,59</t>
  </si>
  <si>
    <t>58,00</t>
  </si>
  <si>
    <t>84,00</t>
  </si>
  <si>
    <t>316,00</t>
  </si>
  <si>
    <t>-3,93</t>
  </si>
  <si>
    <t>-4,21</t>
  </si>
  <si>
    <t>21,02</t>
  </si>
  <si>
    <t>21,06</t>
  </si>
  <si>
    <t>39,78</t>
  </si>
  <si>
    <t>82,45</t>
  </si>
  <si>
    <t>86,80</t>
  </si>
  <si>
    <t>-5,20</t>
  </si>
  <si>
    <t>227,00</t>
  </si>
  <si>
    <t>47,40</t>
  </si>
  <si>
    <t>47,38</t>
  </si>
  <si>
    <t>-4,33</t>
  </si>
  <si>
    <t>-3,85</t>
  </si>
  <si>
    <t>73,10</t>
  </si>
  <si>
    <t>-3,20</t>
  </si>
  <si>
    <t>496,50</t>
  </si>
  <si>
    <t>113,20</t>
  </si>
  <si>
    <t>43,64</t>
  </si>
  <si>
    <t>49,16</t>
  </si>
  <si>
    <t>73,15</t>
  </si>
  <si>
    <t>73,25</t>
  </si>
  <si>
    <t>20,96</t>
  </si>
  <si>
    <t>59,20</t>
  </si>
  <si>
    <t>415,00</t>
  </si>
  <si>
    <t>27,70</t>
  </si>
  <si>
    <t>485,75</t>
  </si>
  <si>
    <t>108,70</t>
  </si>
  <si>
    <t>99,75</t>
  </si>
  <si>
    <t>109,00</t>
  </si>
  <si>
    <t>67,95</t>
  </si>
  <si>
    <t>54,30</t>
  </si>
  <si>
    <t>56,55</t>
  </si>
  <si>
    <t>117,00</t>
  </si>
  <si>
    <t>54,45</t>
  </si>
  <si>
    <t>98,05</t>
  </si>
  <si>
    <t>88,50</t>
  </si>
  <si>
    <t>87,60</t>
  </si>
  <si>
    <t>131,70</t>
  </si>
  <si>
    <t>79,50</t>
  </si>
  <si>
    <t>6,63</t>
  </si>
  <si>
    <t>32,82</t>
  </si>
  <si>
    <t>32,84</t>
  </si>
  <si>
    <t>39,90</t>
  </si>
  <si>
    <t>5,73</t>
  </si>
  <si>
    <t>123,80</t>
  </si>
  <si>
    <t>9,97</t>
  </si>
  <si>
    <t>49,86</t>
  </si>
  <si>
    <t>17,07</t>
  </si>
  <si>
    <t>498,00</t>
  </si>
  <si>
    <t>227,20</t>
  </si>
  <si>
    <t>26,40</t>
  </si>
  <si>
    <t>19,76</t>
  </si>
  <si>
    <t>3215,00</t>
  </si>
  <si>
    <t>135,70</t>
  </si>
  <si>
    <t>46,32</t>
  </si>
  <si>
    <t>-5,78</t>
  </si>
  <si>
    <t>122,50</t>
  </si>
  <si>
    <t>12,28</t>
  </si>
  <si>
    <t>16,95</t>
  </si>
  <si>
    <t>566,50</t>
  </si>
  <si>
    <t>11,40</t>
  </si>
  <si>
    <t>46,36</t>
  </si>
  <si>
    <t>3217,50</t>
  </si>
  <si>
    <t>13,88</t>
  </si>
  <si>
    <t>127,00</t>
  </si>
  <si>
    <t>2567,50</t>
  </si>
  <si>
    <t>562,50</t>
  </si>
  <si>
    <t>141,90</t>
  </si>
  <si>
    <t>409,75</t>
  </si>
  <si>
    <t>315,75</t>
  </si>
  <si>
    <t>43,74</t>
  </si>
  <si>
    <t>38,68</t>
  </si>
  <si>
    <t>38,76</t>
  </si>
  <si>
    <t>38,96</t>
  </si>
  <si>
    <t>61,65</t>
  </si>
  <si>
    <t>8,46</t>
  </si>
  <si>
    <t>41,38</t>
  </si>
  <si>
    <t>2565,00</t>
  </si>
  <si>
    <t>16,41</t>
  </si>
  <si>
    <t>16,44</t>
  </si>
  <si>
    <t>30,34</t>
  </si>
  <si>
    <t>61,70</t>
  </si>
  <si>
    <t>99,65</t>
  </si>
  <si>
    <t>24,14</t>
  </si>
  <si>
    <t>99,80</t>
  </si>
  <si>
    <t>61,75</t>
  </si>
  <si>
    <t>-4,30</t>
  </si>
  <si>
    <t>24,24</t>
  </si>
  <si>
    <t>-1,72</t>
  </si>
  <si>
    <t>58,50</t>
  </si>
  <si>
    <t>-10,00</t>
  </si>
  <si>
    <t>36,20</t>
  </si>
  <si>
    <t>36,24</t>
  </si>
  <si>
    <t>36,18</t>
  </si>
  <si>
    <t>195,40</t>
  </si>
  <si>
    <t>38,88</t>
  </si>
  <si>
    <t>300,00</t>
  </si>
  <si>
    <t>54,65</t>
  </si>
  <si>
    <t>195,50</t>
  </si>
  <si>
    <t>15,22</t>
  </si>
  <si>
    <t>289,75</t>
  </si>
  <si>
    <t>5190,00</t>
  </si>
  <si>
    <t>43,90</t>
  </si>
  <si>
    <t>58,10</t>
  </si>
  <si>
    <t>27,86</t>
  </si>
  <si>
    <t>12,69</t>
  </si>
  <si>
    <t>15,24</t>
  </si>
  <si>
    <t>6,43</t>
  </si>
  <si>
    <t>38,92</t>
  </si>
  <si>
    <t>44,00</t>
  </si>
  <si>
    <t>27,88</t>
  </si>
  <si>
    <t>41,86</t>
  </si>
  <si>
    <t>33,50</t>
  </si>
  <si>
    <t>7,88</t>
  </si>
  <si>
    <t>43,98</t>
  </si>
  <si>
    <t>360,00</t>
  </si>
  <si>
    <t>360,25</t>
  </si>
  <si>
    <t>26,22</t>
  </si>
  <si>
    <t>26,24</t>
  </si>
  <si>
    <t>26,28</t>
  </si>
  <si>
    <t>486,00</t>
  </si>
  <si>
    <t>38.375.748</t>
  </si>
  <si>
    <t>122,70</t>
  </si>
  <si>
    <t>18,70</t>
  </si>
  <si>
    <t>113,40</t>
  </si>
  <si>
    <t>54,80</t>
  </si>
  <si>
    <t>129,30</t>
  </si>
  <si>
    <t>248,60</t>
  </si>
  <si>
    <t>49,62</t>
  </si>
  <si>
    <t>12,43</t>
  </si>
  <si>
    <t>18,68</t>
  </si>
  <si>
    <t>-9,40</t>
  </si>
  <si>
    <t>83,55</t>
  </si>
  <si>
    <t>13,78</t>
  </si>
  <si>
    <t>490,25</t>
  </si>
  <si>
    <t>7,33</t>
  </si>
  <si>
    <t>24,28</t>
  </si>
  <si>
    <t>-3,14</t>
  </si>
  <si>
    <t>18,69</t>
  </si>
  <si>
    <t>18,63</t>
  </si>
  <si>
    <t>368,75</t>
  </si>
  <si>
    <t>9,38</t>
  </si>
  <si>
    <t>293,25</t>
  </si>
  <si>
    <t>92,65</t>
  </si>
  <si>
    <t>-9,18</t>
  </si>
  <si>
    <t>12,56</t>
  </si>
  <si>
    <t>15,30</t>
  </si>
  <si>
    <t>92,60</t>
  </si>
  <si>
    <t>-3,41</t>
  </si>
  <si>
    <t>-7,30</t>
  </si>
  <si>
    <t>662,00</t>
  </si>
  <si>
    <t>209,30</t>
  </si>
  <si>
    <t>209,20</t>
  </si>
  <si>
    <t>-3,12</t>
  </si>
  <si>
    <t>49,70</t>
  </si>
  <si>
    <t>13,69</t>
  </si>
  <si>
    <t>161,00</t>
  </si>
  <si>
    <t>22,72</t>
  </si>
  <si>
    <t>-2,64</t>
  </si>
  <si>
    <t>22,92</t>
  </si>
  <si>
    <t>267,00</t>
  </si>
  <si>
    <t>15,70</t>
  </si>
  <si>
    <t>17,99</t>
  </si>
  <si>
    <t>12,55</t>
  </si>
  <si>
    <t>46,60</t>
  </si>
  <si>
    <t>27,84</t>
  </si>
  <si>
    <t>2.461.821</t>
  </si>
  <si>
    <t>19,65</t>
  </si>
  <si>
    <t>19,63</t>
  </si>
  <si>
    <t>-10,20</t>
  </si>
  <si>
    <t>-9,98</t>
  </si>
  <si>
    <t>197,50</t>
  </si>
  <si>
    <t>-60,00</t>
  </si>
  <si>
    <t>10,44</t>
  </si>
  <si>
    <t>27,82</t>
  </si>
  <si>
    <t>2.463.252</t>
  </si>
  <si>
    <t>11,39</t>
  </si>
  <si>
    <t>160,10</t>
  </si>
  <si>
    <t>42,82</t>
  </si>
  <si>
    <t>75,20</t>
  </si>
  <si>
    <t>70,50</t>
  </si>
  <si>
    <t>58,30</t>
  </si>
  <si>
    <t>14,66</t>
  </si>
  <si>
    <t>12600,00</t>
  </si>
  <si>
    <t>345,00</t>
  </si>
  <si>
    <t>14,65</t>
  </si>
  <si>
    <t>12595,00</t>
  </si>
  <si>
    <t>-95,00</t>
  </si>
  <si>
    <t>-2,97</t>
  </si>
  <si>
    <t>299,00</t>
  </si>
  <si>
    <t>8,67</t>
  </si>
  <si>
    <t>52,35</t>
  </si>
  <si>
    <t>46,58</t>
  </si>
  <si>
    <t>17,98</t>
  </si>
  <si>
    <t>252,00</t>
  </si>
  <si>
    <t>1.106.749</t>
  </si>
  <si>
    <t>952,50</t>
  </si>
  <si>
    <t>953,00</t>
  </si>
  <si>
    <t>-35,50</t>
  </si>
  <si>
    <t>16,01</t>
  </si>
  <si>
    <t>130,70</t>
  </si>
  <si>
    <t>13,65</t>
  </si>
  <si>
    <t>17,58</t>
  </si>
  <si>
    <t>793,00</t>
  </si>
  <si>
    <t>14,64</t>
  </si>
  <si>
    <t>422,75</t>
  </si>
  <si>
    <t>52,55</t>
  </si>
  <si>
    <t>24,78</t>
  </si>
  <si>
    <t>17,57</t>
  </si>
  <si>
    <t>33,42</t>
  </si>
  <si>
    <t>144,10</t>
  </si>
  <si>
    <t>422,25</t>
  </si>
  <si>
    <t>245,10</t>
  </si>
  <si>
    <t>245,00</t>
  </si>
  <si>
    <t>947,00</t>
  </si>
  <si>
    <t>421,50</t>
  </si>
  <si>
    <t>271,25</t>
  </si>
  <si>
    <t>52,45</t>
  </si>
  <si>
    <t>48,50</t>
  </si>
  <si>
    <t>271,00</t>
  </si>
  <si>
    <t>34,68</t>
  </si>
  <si>
    <t>-10,25</t>
  </si>
  <si>
    <t>107,60</t>
  </si>
  <si>
    <t>107,50</t>
  </si>
  <si>
    <t>-6,01</t>
  </si>
  <si>
    <t>47,52</t>
  </si>
  <si>
    <t>64,00</t>
  </si>
  <si>
    <t>181,20</t>
  </si>
  <si>
    <t>63,95</t>
  </si>
  <si>
    <t>-4,39</t>
  </si>
  <si>
    <t>72,45</t>
  </si>
  <si>
    <t>72,35</t>
  </si>
  <si>
    <t>45,40</t>
  </si>
  <si>
    <t>176,60</t>
  </si>
  <si>
    <t>34,94</t>
  </si>
  <si>
    <t>46,46</t>
  </si>
  <si>
    <t>-4,95</t>
  </si>
  <si>
    <t>219,10</t>
  </si>
  <si>
    <t>10,16</t>
  </si>
  <si>
    <t>72,25</t>
  </si>
  <si>
    <t>15,67</t>
  </si>
  <si>
    <t>22,56</t>
  </si>
  <si>
    <t>1233,00</t>
  </si>
  <si>
    <t>167,50</t>
  </si>
  <si>
    <t>1.013.555</t>
  </si>
  <si>
    <t>63,75</t>
  </si>
  <si>
    <t>94,35</t>
  </si>
  <si>
    <t>15317,50</t>
  </si>
  <si>
    <t>34,80</t>
  </si>
  <si>
    <t>225,20</t>
  </si>
  <si>
    <t>225,10</t>
  </si>
  <si>
    <t>225,00</t>
  </si>
  <si>
    <t>94,20</t>
  </si>
  <si>
    <t>18,46</t>
  </si>
  <si>
    <t>-10,50</t>
  </si>
  <si>
    <t>565000,00</t>
  </si>
  <si>
    <t>590000,00</t>
  </si>
  <si>
    <t>-30000,00</t>
  </si>
  <si>
    <t>-5,04</t>
  </si>
  <si>
    <t>-5,37</t>
  </si>
  <si>
    <t>1020,00</t>
  </si>
  <si>
    <t>-5,56</t>
  </si>
  <si>
    <t>1019,00</t>
  </si>
  <si>
    <t>1012,00</t>
  </si>
  <si>
    <t>18,45</t>
  </si>
  <si>
    <t>-4,94</t>
  </si>
  <si>
    <t>294,50</t>
  </si>
  <si>
    <t>11,12</t>
  </si>
  <si>
    <t>2047,00</t>
  </si>
  <si>
    <t>334,25</t>
  </si>
  <si>
    <t>34,88</t>
  </si>
  <si>
    <t>218,00</t>
  </si>
  <si>
    <t>48,24</t>
  </si>
  <si>
    <t>83,50</t>
  </si>
  <si>
    <t>294,00</t>
  </si>
  <si>
    <t>115,90</t>
  </si>
  <si>
    <t>115,80</t>
  </si>
  <si>
    <t>115,70</t>
  </si>
  <si>
    <t>294,25</t>
  </si>
  <si>
    <t>70,40</t>
  </si>
  <si>
    <t>173,60</t>
  </si>
  <si>
    <t>83,45</t>
  </si>
  <si>
    <t>214,10</t>
  </si>
  <si>
    <t>48,22</t>
  </si>
  <si>
    <t>5,97</t>
  </si>
  <si>
    <t>876,50</t>
  </si>
  <si>
    <t>173,80</t>
  </si>
  <si>
    <t>34,84</t>
  </si>
  <si>
    <t>3.404.803</t>
  </si>
  <si>
    <t>2045,00</t>
  </si>
  <si>
    <t>285,50</t>
  </si>
  <si>
    <t>22,54</t>
  </si>
  <si>
    <t>73,40</t>
  </si>
  <si>
    <t>-4,65</t>
  </si>
  <si>
    <t>22,52</t>
  </si>
  <si>
    <t>2038,00</t>
  </si>
  <si>
    <t>63,55</t>
  </si>
  <si>
    <t>208,30</t>
  </si>
  <si>
    <t>9170,00</t>
  </si>
  <si>
    <t>266,00</t>
  </si>
  <si>
    <t>259,00</t>
  </si>
  <si>
    <t>134,40</t>
  </si>
  <si>
    <t>206,60</t>
  </si>
  <si>
    <t>10362,47</t>
  </si>
  <si>
    <t>445,00</t>
  </si>
  <si>
    <t>134,30</t>
  </si>
  <si>
    <t>201,20</t>
  </si>
  <si>
    <t>-18,25</t>
  </si>
  <si>
    <t>535,00</t>
  </si>
  <si>
    <t>201,70</t>
  </si>
  <si>
    <t>201,60</t>
  </si>
  <si>
    <t>-4,45</t>
  </si>
  <si>
    <t>33,14</t>
  </si>
  <si>
    <t>191,20</t>
  </si>
  <si>
    <t>63,50</t>
  </si>
  <si>
    <t>176,50</t>
  </si>
  <si>
    <t>278,00</t>
  </si>
  <si>
    <t>872,50</t>
  </si>
  <si>
    <t>790,00</t>
  </si>
  <si>
    <t>7,76</t>
  </si>
  <si>
    <t>431,50</t>
  </si>
  <si>
    <t>277,75</t>
  </si>
  <si>
    <t>5220,00</t>
  </si>
  <si>
    <t>1224,00</t>
  </si>
  <si>
    <t>333,50</t>
  </si>
  <si>
    <t>15200,00</t>
  </si>
  <si>
    <t>168,60</t>
  </si>
  <si>
    <t>283,50</t>
  </si>
  <si>
    <t>432,25</t>
  </si>
  <si>
    <t>433,00</t>
  </si>
  <si>
    <t>433,50</t>
  </si>
  <si>
    <t>154,50</t>
  </si>
  <si>
    <t>255,00</t>
  </si>
  <si>
    <t>9210,00</t>
  </si>
  <si>
    <t>-4,37</t>
  </si>
  <si>
    <t>-8,06</t>
  </si>
  <si>
    <t>-465,00</t>
  </si>
  <si>
    <t>-5,30</t>
  </si>
  <si>
    <t>10364,56</t>
  </si>
  <si>
    <t>-192,24</t>
  </si>
  <si>
    <t>17.077.706</t>
  </si>
  <si>
    <t>1.298.224</t>
  </si>
  <si>
    <t>9.698.322</t>
  </si>
  <si>
    <t>42.543.641</t>
  </si>
  <si>
    <t>1.059.564</t>
  </si>
  <si>
    <t>1.107.845</t>
  </si>
  <si>
    <t>6.871.703</t>
  </si>
  <si>
    <t>35.563.947</t>
  </si>
  <si>
    <t>56.662.135</t>
  </si>
  <si>
    <t>13.353.199</t>
  </si>
  <si>
    <t>25.468.675</t>
  </si>
  <si>
    <t>1.900.744</t>
  </si>
  <si>
    <t>19.669.251</t>
  </si>
  <si>
    <t>17.270.485</t>
  </si>
  <si>
    <t>1.097.129</t>
  </si>
  <si>
    <t>20.040.750</t>
  </si>
  <si>
    <t>9.204.628</t>
  </si>
  <si>
    <t>10.332.886</t>
  </si>
  <si>
    <t>9.963.753</t>
  </si>
  <si>
    <t>20.957.855</t>
  </si>
  <si>
    <t>25.323.522</t>
  </si>
  <si>
    <t>2.402.558</t>
  </si>
  <si>
    <t>22.901.127</t>
  </si>
  <si>
    <t>1.578.201</t>
  </si>
  <si>
    <t>3.418.244</t>
  </si>
  <si>
    <t>49.778.115</t>
  </si>
  <si>
    <t>2.530.679</t>
  </si>
  <si>
    <t>27.579.329</t>
  </si>
  <si>
    <t>2.292.597</t>
  </si>
  <si>
    <t>29.080.671</t>
  </si>
  <si>
    <t>26.441.275</t>
  </si>
  <si>
    <t>7.943.161</t>
  </si>
  <si>
    <t>52.708.316</t>
  </si>
  <si>
    <t>3.713.291</t>
  </si>
  <si>
    <t>23.591.931</t>
  </si>
  <si>
    <t>22.943.771</t>
  </si>
  <si>
    <t>102.055.110</t>
  </si>
  <si>
    <t>11.430.001</t>
  </si>
  <si>
    <t>11.281.198</t>
  </si>
  <si>
    <t>2.676.547</t>
  </si>
  <si>
    <t>8.109.408</t>
  </si>
  <si>
    <t>1.015.280</t>
  </si>
  <si>
    <t>18.277.521</t>
  </si>
  <si>
    <t>1.105.013</t>
  </si>
  <si>
    <t>14.216.622</t>
  </si>
  <si>
    <t>3.207.380</t>
  </si>
  <si>
    <t>6.225.881</t>
  </si>
  <si>
    <t>17.775.249</t>
  </si>
  <si>
    <t>14.216.640</t>
  </si>
  <si>
    <t>46.101.630</t>
  </si>
  <si>
    <t>22.939.612</t>
  </si>
  <si>
    <t>4.404.793</t>
  </si>
  <si>
    <t>9.112.222</t>
  </si>
  <si>
    <t>191,40</t>
  </si>
  <si>
    <t>8752,50</t>
  </si>
  <si>
    <t>12,04</t>
  </si>
  <si>
    <t>40.922.280</t>
  </si>
  <si>
    <t>3.145.824</t>
  </si>
  <si>
    <t>158.701.629</t>
  </si>
  <si>
    <t>9.798.546</t>
  </si>
  <si>
    <t>43.027.454</t>
  </si>
  <si>
    <t>1.006.597</t>
  </si>
  <si>
    <t>3.938.178</t>
  </si>
  <si>
    <t>192.210.971</t>
  </si>
  <si>
    <t>34.847.991</t>
  </si>
  <si>
    <t>1.148.264</t>
  </si>
  <si>
    <t>85.728.042</t>
  </si>
  <si>
    <t>33.422.605</t>
  </si>
  <si>
    <t>1.698.974</t>
  </si>
  <si>
    <t>52.726.896</t>
  </si>
  <si>
    <t>3.117.190</t>
  </si>
  <si>
    <t>16.244.290</t>
  </si>
  <si>
    <t>47.854.091</t>
  </si>
  <si>
    <t>32.165.436</t>
  </si>
  <si>
    <t>6.799.268</t>
  </si>
  <si>
    <t>13.135.940</t>
  </si>
  <si>
    <t>127.267.252</t>
  </si>
  <si>
    <t>17.839.775</t>
  </si>
  <si>
    <t>47.103.487</t>
  </si>
  <si>
    <t>56.090.141</t>
  </si>
  <si>
    <t>1.322.127</t>
  </si>
  <si>
    <t>11.795.915</t>
  </si>
  <si>
    <t>20.852.602</t>
  </si>
  <si>
    <t>1.026.687</t>
  </si>
  <si>
    <t>78.649.695</t>
  </si>
  <si>
    <t>2.686.888</t>
  </si>
  <si>
    <t>4.422.409</t>
  </si>
  <si>
    <t>18.426.802</t>
  </si>
  <si>
    <t>2.302.376</t>
  </si>
  <si>
    <t>10.454.229</t>
  </si>
  <si>
    <t>1.267.351</t>
  </si>
  <si>
    <t>37.576.306</t>
  </si>
  <si>
    <t>1.772.801</t>
  </si>
  <si>
    <t>40.430.487</t>
  </si>
  <si>
    <t>1.195.497</t>
  </si>
  <si>
    <t>54.906.221</t>
  </si>
  <si>
    <t>12.392.662</t>
  </si>
  <si>
    <t>15.842.869</t>
  </si>
  <si>
    <t>1.695.000</t>
  </si>
  <si>
    <t>9.727.137</t>
  </si>
  <si>
    <t>8.744.644</t>
  </si>
  <si>
    <t>16.121.436</t>
  </si>
  <si>
    <t>14.246.334</t>
  </si>
  <si>
    <t>17.088.988</t>
  </si>
  <si>
    <t>137.475.860</t>
  </si>
  <si>
    <t>41.048.602</t>
  </si>
  <si>
    <t>6.250.537</t>
  </si>
  <si>
    <t>55.169.770</t>
  </si>
  <si>
    <t>32.306.451</t>
  </si>
  <si>
    <t>47.556.393</t>
  </si>
  <si>
    <t>314.994.937</t>
  </si>
  <si>
    <t>9.631.372</t>
  </si>
  <si>
    <t>65.088.883</t>
  </si>
  <si>
    <t>29.269.315</t>
  </si>
  <si>
    <t>100.883.135</t>
  </si>
  <si>
    <t>25.483.051</t>
  </si>
  <si>
    <t>15.315.587</t>
  </si>
  <si>
    <t>1.516.878</t>
  </si>
  <si>
    <t>74.837.913</t>
  </si>
  <si>
    <t>1.535.926</t>
  </si>
  <si>
    <t>17.990.228</t>
  </si>
  <si>
    <t>1.247.720</t>
  </si>
  <si>
    <t>26.093.759</t>
  </si>
  <si>
    <t>1.279.160</t>
  </si>
  <si>
    <t>8.207.905</t>
  </si>
  <si>
    <t>1.516.133</t>
  </si>
  <si>
    <t>29.282.045</t>
  </si>
  <si>
    <t>24.944.243</t>
  </si>
  <si>
    <t>9.652.323</t>
  </si>
  <si>
    <t>52.210.551</t>
  </si>
  <si>
    <t>2.645.093</t>
  </si>
  <si>
    <t>127.003.921</t>
  </si>
  <si>
    <t>2.395.154</t>
  </si>
  <si>
    <t>35.816.338</t>
  </si>
  <si>
    <t>14.440.398</t>
  </si>
  <si>
    <t>51.202.913</t>
  </si>
  <si>
    <t>3.809.039</t>
  </si>
  <si>
    <t>18.486.905</t>
  </si>
  <si>
    <t>1.147.740</t>
  </si>
  <si>
    <t>72.603.907</t>
  </si>
  <si>
    <t>27.147.455</t>
  </si>
  <si>
    <t>143.529.605</t>
  </si>
  <si>
    <t>47.109.826</t>
  </si>
  <si>
    <t>4.130.931</t>
  </si>
  <si>
    <t>18.915.874</t>
  </si>
  <si>
    <t>114.020.220</t>
  </si>
  <si>
    <t>121.533.632</t>
  </si>
  <si>
    <t>3.051.374</t>
  </si>
  <si>
    <t>105.306.994</t>
  </si>
  <si>
    <t>13.983.097</t>
  </si>
  <si>
    <t>14.224.500</t>
  </si>
  <si>
    <t>58.345.805</t>
  </si>
  <si>
    <t>2.248.452</t>
  </si>
  <si>
    <t>44.315.927</t>
  </si>
  <si>
    <t>1.984.276</t>
  </si>
  <si>
    <t>3.407.632</t>
  </si>
  <si>
    <t>53.642.206</t>
  </si>
  <si>
    <t>4.643.837</t>
  </si>
  <si>
    <t>98.386.023</t>
  </si>
  <si>
    <t>14.835.545</t>
  </si>
  <si>
    <t>97.992.599</t>
  </si>
  <si>
    <t>1.453.718</t>
  </si>
  <si>
    <t>27.576.464</t>
  </si>
  <si>
    <t>1.003.110</t>
  </si>
  <si>
    <t>27.935.519</t>
  </si>
  <si>
    <t>17.413.490</t>
  </si>
  <si>
    <t>77.920.549</t>
  </si>
  <si>
    <t>2.692.836</t>
  </si>
  <si>
    <t>18,62</t>
  </si>
  <si>
    <t>11.196.336</t>
  </si>
  <si>
    <t>50.946.382</t>
  </si>
  <si>
    <t>1.153.532</t>
  </si>
  <si>
    <t>74.284.951</t>
  </si>
  <si>
    <t>17.571.184</t>
  </si>
  <si>
    <t>65.055.292</t>
  </si>
  <si>
    <t>6.348.519</t>
  </si>
  <si>
    <t>25.282.755</t>
  </si>
  <si>
    <t>40.698.024</t>
  </si>
  <si>
    <t>13.529.344</t>
  </si>
  <si>
    <t>2.003.311</t>
  </si>
  <si>
    <t>99.218.444</t>
  </si>
  <si>
    <t>1.972.553</t>
  </si>
  <si>
    <t>35.389.853</t>
  </si>
  <si>
    <t>1.084.743</t>
  </si>
  <si>
    <t>17.331.130</t>
  </si>
  <si>
    <t>73.669.003</t>
  </si>
  <si>
    <t>1.940.261</t>
  </si>
  <si>
    <t>93.523.876</t>
  </si>
  <si>
    <t>141.046.626</t>
  </si>
  <si>
    <t>10.090.064</t>
  </si>
  <si>
    <t>21.024.932</t>
  </si>
  <si>
    <t>1.080.946</t>
  </si>
  <si>
    <t>16.800.406</t>
  </si>
  <si>
    <t>16.815.237</t>
  </si>
  <si>
    <t>1.205.277</t>
  </si>
  <si>
    <t>33.945.411</t>
  </si>
  <si>
    <t>32.036.903</t>
  </si>
  <si>
    <t>104.056.021</t>
  </si>
  <si>
    <t>2.833.879</t>
  </si>
  <si>
    <t>154,40</t>
  </si>
  <si>
    <t>32.990.935</t>
  </si>
  <si>
    <t>3.909.669</t>
  </si>
  <si>
    <t>101.982.960</t>
  </si>
  <si>
    <t>2.976.207</t>
  </si>
  <si>
    <t>27.939.492</t>
  </si>
  <si>
    <t>1.321.641</t>
  </si>
  <si>
    <t>29.740.481</t>
  </si>
  <si>
    <t>3.335.954</t>
  </si>
  <si>
    <t>51.445.394</t>
  </si>
  <si>
    <t>96.413.308</t>
  </si>
  <si>
    <t>16.587.798</t>
  </si>
  <si>
    <t>113.846.953</t>
  </si>
  <si>
    <t>2.739.396</t>
  </si>
  <si>
    <t>296.788.109</t>
  </si>
  <si>
    <t>3.635.170</t>
  </si>
  <si>
    <t>37.653.145</t>
  </si>
  <si>
    <t>1.503.195</t>
  </si>
  <si>
    <t>119.664.606</t>
  </si>
  <si>
    <t>3.190.511</t>
  </si>
  <si>
    <t>71.496.644</t>
  </si>
  <si>
    <t>1.397.453</t>
  </si>
  <si>
    <t>18.266.907</t>
  </si>
  <si>
    <t>260.408.913</t>
  </si>
  <si>
    <t>30.080.573</t>
  </si>
  <si>
    <t>46.388.224</t>
  </si>
  <si>
    <t>1.918.407</t>
  </si>
  <si>
    <t>11.269.132</t>
  </si>
  <si>
    <t>1.387.030</t>
  </si>
  <si>
    <t>32.462.569</t>
  </si>
  <si>
    <t>4.558.961</t>
  </si>
  <si>
    <t>19.353.429</t>
  </si>
  <si>
    <t>1.633.568</t>
  </si>
  <si>
    <t>34.269.268</t>
  </si>
  <si>
    <t>111.957.953</t>
  </si>
  <si>
    <t>25.144.174</t>
  </si>
  <si>
    <t>8.635.562</t>
  </si>
  <si>
    <t>43.073.760</t>
  </si>
  <si>
    <t>1.577.509</t>
  </si>
  <si>
    <t>26.083.349</t>
  </si>
  <si>
    <t>22.886.261</t>
  </si>
  <si>
    <t>367.806.187</t>
  </si>
  <si>
    <t>12.140.281</t>
  </si>
  <si>
    <t>68.685.738</t>
  </si>
  <si>
    <t>1.739.560</t>
  </si>
  <si>
    <t>38.156.660</t>
  </si>
  <si>
    <t>9.959.192</t>
  </si>
  <si>
    <t>102.420.077</t>
  </si>
  <si>
    <t>5.825.595</t>
  </si>
  <si>
    <t>125.473.707</t>
  </si>
  <si>
    <t>16.894.832</t>
  </si>
  <si>
    <t>42.930.209</t>
  </si>
  <si>
    <t>2.280.740</t>
  </si>
  <si>
    <t>20.158.068</t>
  </si>
  <si>
    <t>24.387.242</t>
  </si>
  <si>
    <t>1.428.804</t>
  </si>
  <si>
    <t>16.657.973</t>
  </si>
  <si>
    <t>23.493.871</t>
  </si>
  <si>
    <t>2.069.663</t>
  </si>
  <si>
    <t>116.403.941</t>
  </si>
  <si>
    <t>4.179.405</t>
  </si>
  <si>
    <t>44.973.738</t>
  </si>
  <si>
    <t>1.067.687</t>
  </si>
  <si>
    <t>144.964.141</t>
  </si>
  <si>
    <t>16.440.072</t>
  </si>
  <si>
    <t>1.224.733</t>
  </si>
  <si>
    <t>50.580.051</t>
  </si>
  <si>
    <t>6.146.440</t>
  </si>
  <si>
    <t>52.299.002</t>
  </si>
  <si>
    <t>6.021.619</t>
  </si>
  <si>
    <t>27.283.111</t>
  </si>
  <si>
    <t>111.665.498</t>
  </si>
  <si>
    <t>44.524.068</t>
  </si>
  <si>
    <t>37.061.718</t>
  </si>
  <si>
    <t>1.244.050</t>
  </si>
  <si>
    <t>79.278.987</t>
  </si>
  <si>
    <t>3.807.137</t>
  </si>
  <si>
    <t>56.129.303</t>
  </si>
  <si>
    <t>2.532.421</t>
  </si>
  <si>
    <t>95.352.170</t>
  </si>
  <si>
    <t>6.646.675</t>
  </si>
  <si>
    <t>230.938.886</t>
  </si>
  <si>
    <t>1.873.454</t>
  </si>
  <si>
    <t>23.930.171</t>
  </si>
  <si>
    <t>32.209.995</t>
  </si>
  <si>
    <t>58.669.457</t>
  </si>
  <si>
    <t>240.148.118</t>
  </si>
  <si>
    <t>46.847.964</t>
  </si>
  <si>
    <t>13.101.550</t>
  </si>
  <si>
    <t>23.314.721</t>
  </si>
  <si>
    <t>1.068.267</t>
  </si>
  <si>
    <t>136.698.175</t>
  </si>
  <si>
    <t>1.262.203</t>
  </si>
  <si>
    <t>140.228.034</t>
  </si>
  <si>
    <t>155.905.053</t>
  </si>
  <si>
    <t>59.327.255</t>
  </si>
  <si>
    <t>2.048.844</t>
  </si>
  <si>
    <t>21.457.270</t>
  </si>
  <si>
    <t>2.528.892</t>
  </si>
  <si>
    <t>43.087.642</t>
  </si>
  <si>
    <t>1.871.011</t>
  </si>
  <si>
    <t>40.475.922</t>
  </si>
  <si>
    <t>43.732.011</t>
  </si>
  <si>
    <t>63.814.330</t>
  </si>
  <si>
    <t>7.225.710</t>
  </si>
  <si>
    <t>228.180.053</t>
  </si>
  <si>
    <t>8.505.859</t>
  </si>
  <si>
    <t>31.645.690</t>
  </si>
  <si>
    <t>4.847.454</t>
  </si>
  <si>
    <t>162.120.829</t>
  </si>
  <si>
    <t>2.580.939</t>
  </si>
  <si>
    <t>272.796.369</t>
  </si>
  <si>
    <t>137.405.855</t>
  </si>
  <si>
    <t>7.094.302</t>
  </si>
  <si>
    <t>144.135.294</t>
  </si>
  <si>
    <t>1.059.503</t>
  </si>
  <si>
    <t>114.274.373</t>
  </si>
  <si>
    <t>1.225.807</t>
  </si>
  <si>
    <t>34.802.749</t>
  </si>
  <si>
    <t>34.006.191</t>
  </si>
  <si>
    <t>6.696.265</t>
  </si>
  <si>
    <t>33.912.558</t>
  </si>
  <si>
    <t>1.163.314</t>
  </si>
  <si>
    <t>122.307.904</t>
  </si>
  <si>
    <t>20.860.354</t>
  </si>
  <si>
    <t>435.153.944</t>
  </si>
  <si>
    <t>3.654.496</t>
  </si>
  <si>
    <t>85.999.685</t>
  </si>
  <si>
    <t>2.647.594</t>
  </si>
  <si>
    <t>615.069.276</t>
  </si>
  <si>
    <t>1.218.834</t>
  </si>
  <si>
    <t>42.035.896</t>
  </si>
  <si>
    <t>24.650.499</t>
  </si>
  <si>
    <t>2.346.967</t>
  </si>
  <si>
    <t>487.664.876</t>
  </si>
  <si>
    <t>3.298.267</t>
  </si>
  <si>
    <t>8.556.714</t>
  </si>
  <si>
    <t>1.015.989</t>
  </si>
  <si>
    <t>78.764.091</t>
  </si>
  <si>
    <t>106.729.624</t>
  </si>
  <si>
    <t>1.821.749</t>
  </si>
  <si>
    <t>82.451.703</t>
  </si>
  <si>
    <t>3.287.951</t>
  </si>
  <si>
    <t>413.217.612</t>
  </si>
  <si>
    <t>101.689.052</t>
  </si>
  <si>
    <t>52.930.550</t>
  </si>
  <si>
    <t>4.153.779</t>
  </si>
  <si>
    <t>19.962.690</t>
  </si>
  <si>
    <t>46.611.507</t>
  </si>
  <si>
    <t>8.400.436</t>
  </si>
  <si>
    <t>141.515.959</t>
  </si>
  <si>
    <t>94.748.683</t>
  </si>
  <si>
    <t>116.976.626</t>
  </si>
  <si>
    <t>3.294.716</t>
  </si>
  <si>
    <t>7.726.226</t>
  </si>
  <si>
    <t>46.039.410</t>
  </si>
  <si>
    <t>1.626.720</t>
  </si>
  <si>
    <t>19.711.458</t>
  </si>
  <si>
    <t>84.279.583</t>
  </si>
  <si>
    <t>89.734.813</t>
  </si>
  <si>
    <t>561.293.789</t>
  </si>
  <si>
    <t>52.059.906</t>
  </si>
  <si>
    <t>12.507.112</t>
  </si>
  <si>
    <t>65.009.950</t>
  </si>
  <si>
    <t>1.058.545</t>
  </si>
  <si>
    <t>218.454.409</t>
  </si>
  <si>
    <t>3.287.871</t>
  </si>
  <si>
    <t>50.666.809</t>
  </si>
  <si>
    <t>8.118.515</t>
  </si>
  <si>
    <t>25.386.139</t>
  </si>
  <si>
    <t>1.067.694</t>
  </si>
  <si>
    <t>223.219.660</t>
  </si>
  <si>
    <t>9.349.977</t>
  </si>
  <si>
    <t>16.837.418</t>
  </si>
  <si>
    <t>160.002.438</t>
  </si>
  <si>
    <t>152.142.726</t>
  </si>
  <si>
    <t>4.157.980</t>
  </si>
  <si>
    <t>73.526.740</t>
  </si>
  <si>
    <t>20.472.805</t>
  </si>
  <si>
    <t>458.919.037</t>
  </si>
  <si>
    <t>45.832.502</t>
  </si>
  <si>
    <t>5.846.054</t>
  </si>
  <si>
    <t>45.427.187</t>
  </si>
  <si>
    <t>3.054.872</t>
  </si>
  <si>
    <t>13.475.201</t>
  </si>
  <si>
    <t>3.693.917</t>
  </si>
  <si>
    <t>91.478.571</t>
  </si>
  <si>
    <t>2.223.147</t>
  </si>
  <si>
    <t>57.352.954</t>
  </si>
  <si>
    <t>1.021.001</t>
  </si>
  <si>
    <t>188.032.392</t>
  </si>
  <si>
    <t>11.714.705</t>
  </si>
  <si>
    <t>88.581.768</t>
  </si>
  <si>
    <t>1.797.513</t>
  </si>
  <si>
    <t>38.166.255</t>
  </si>
  <si>
    <t>1.336.537</t>
  </si>
  <si>
    <t>64.660.963</t>
  </si>
  <si>
    <t>636.869.089</t>
  </si>
  <si>
    <t>74.171.137</t>
  </si>
  <si>
    <t>32.512.073</t>
  </si>
  <si>
    <t>2.449.070</t>
  </si>
  <si>
    <t>40.412.466</t>
  </si>
  <si>
    <t>43.519.755</t>
  </si>
  <si>
    <t>1.606.250</t>
  </si>
  <si>
    <t>754.353.403</t>
  </si>
  <si>
    <t>2.996.282</t>
  </si>
  <si>
    <t>19.375.076</t>
  </si>
  <si>
    <t>149.992.082</t>
  </si>
  <si>
    <t>15.868.918</t>
  </si>
  <si>
    <t>24.018.997</t>
  </si>
  <si>
    <t>7.970.075</t>
  </si>
  <si>
    <t>12.841.097</t>
  </si>
  <si>
    <t>83.365.804</t>
  </si>
  <si>
    <t>7.206.140</t>
  </si>
  <si>
    <t>92.983.099</t>
  </si>
  <si>
    <t>11.164.189</t>
  </si>
  <si>
    <t>35.429.717</t>
  </si>
  <si>
    <t>5.772.537</t>
  </si>
  <si>
    <t>41.432.234</t>
  </si>
  <si>
    <t>28.422.277</t>
  </si>
  <si>
    <t>3.855.339</t>
  </si>
  <si>
    <t>2.241.090.217</t>
  </si>
  <si>
    <t>20.963.793</t>
  </si>
  <si>
    <t>111.733.718</t>
  </si>
  <si>
    <t>1.812.000</t>
  </si>
  <si>
    <t>68.543.105</t>
  </si>
  <si>
    <t>1.983.408</t>
  </si>
  <si>
    <t>21.168.392</t>
  </si>
  <si>
    <t>1.812.003</t>
  </si>
  <si>
    <t>125.132.601</t>
  </si>
  <si>
    <t>1.518.994</t>
  </si>
  <si>
    <t>22.329.443</t>
  </si>
  <si>
    <t>1.063.851</t>
  </si>
  <si>
    <t>141.595.593</t>
  </si>
  <si>
    <t>6.712.420</t>
  </si>
  <si>
    <t>51.169.151</t>
  </si>
  <si>
    <t>3.161.645</t>
  </si>
  <si>
    <t>51.276.363</t>
  </si>
  <si>
    <t>3.483.960</t>
  </si>
  <si>
    <t>31.434.285</t>
  </si>
  <si>
    <t>1.111.396</t>
  </si>
  <si>
    <t>1.341.497.040</t>
  </si>
  <si>
    <t>9.074.489</t>
  </si>
  <si>
    <t>113.740.319</t>
  </si>
  <si>
    <t>1.825.647</t>
  </si>
  <si>
    <t>168.346.747</t>
  </si>
  <si>
    <t>5.461.861</t>
  </si>
  <si>
    <t>38.775.275</t>
  </si>
  <si>
    <t>759.801.017</t>
  </si>
  <si>
    <t>18.387.711</t>
  </si>
  <si>
    <t>13.639.829</t>
  </si>
  <si>
    <t>178.464.892</t>
  </si>
  <si>
    <t>4.573.873</t>
  </si>
  <si>
    <t>147.501.972</t>
  </si>
  <si>
    <t>4.395.418</t>
  </si>
  <si>
    <t>59.221.995</t>
  </si>
  <si>
    <t>1.506.062</t>
  </si>
  <si>
    <t>735.278.116</t>
  </si>
  <si>
    <t>14.394.934</t>
  </si>
  <si>
    <t>33.703.275</t>
  </si>
  <si>
    <t>68.901.005</t>
  </si>
  <si>
    <t>2.321.174</t>
  </si>
  <si>
    <t>16.711.396</t>
  </si>
  <si>
    <t>1.462.523</t>
  </si>
  <si>
    <t>16.240.977</t>
  </si>
  <si>
    <t>1.013.078.934</t>
  </si>
  <si>
    <t>3.347.434</t>
  </si>
  <si>
    <t>1.004.573.458</t>
  </si>
  <si>
    <t>178.988.903</t>
  </si>
  <si>
    <t>30.033.253</t>
  </si>
  <si>
    <t>1.077.426</t>
  </si>
  <si>
    <t>115.315.479</t>
  </si>
  <si>
    <t>50.003.224</t>
  </si>
  <si>
    <t>54.472.305</t>
  </si>
  <si>
    <t>16.520.486</t>
  </si>
  <si>
    <t>1.353.066</t>
  </si>
  <si>
    <t>25.157.076</t>
  </si>
  <si>
    <t>1.491.508</t>
  </si>
  <si>
    <t>60.327.975</t>
  </si>
  <si>
    <t>4.398.747</t>
  </si>
  <si>
    <t>167.555.011</t>
  </si>
  <si>
    <t>929.124.242</t>
  </si>
  <si>
    <t>26.627.346</t>
  </si>
  <si>
    <t>45.217.485</t>
  </si>
  <si>
    <t>37.522.837</t>
  </si>
  <si>
    <t>18.972.658</t>
  </si>
  <si>
    <t>20.244.656</t>
  </si>
  <si>
    <t>5.443.859</t>
  </si>
  <si>
    <t>67.587.498</t>
  </si>
  <si>
    <t>5.087.170</t>
  </si>
  <si>
    <t>94.007.268</t>
  </si>
  <si>
    <t>3.203.133</t>
  </si>
  <si>
    <t>109.621.479</t>
  </si>
  <si>
    <t>31.459.581</t>
  </si>
  <si>
    <t>12.367.903</t>
  </si>
  <si>
    <t>1.240.221</t>
  </si>
  <si>
    <t>85.779.621</t>
  </si>
  <si>
    <t>3.027.635</t>
  </si>
  <si>
    <t>132.755.583</t>
  </si>
  <si>
    <t>50.741.212</t>
  </si>
  <si>
    <t>98.813.879</t>
  </si>
  <si>
    <t>12.456.374</t>
  </si>
  <si>
    <t>1.977.196.221</t>
  </si>
  <si>
    <t>42.804.563</t>
  </si>
  <si>
    <t>18.832.553</t>
  </si>
  <si>
    <t>1.044.787</t>
  </si>
  <si>
    <t>1.898.467.983</t>
  </si>
  <si>
    <t>31.677.411</t>
  </si>
  <si>
    <t>106.768.823</t>
  </si>
  <si>
    <t>13.372.653</t>
  </si>
  <si>
    <t>132.229.158</t>
  </si>
  <si>
    <t>40.880.414</t>
  </si>
  <si>
    <t>5.173.118</t>
  </si>
  <si>
    <t>184.510.800</t>
  </si>
  <si>
    <t>1.901.430</t>
  </si>
  <si>
    <t>67.983.765</t>
  </si>
  <si>
    <t>21.720.563</t>
  </si>
  <si>
    <t>135.998.593</t>
  </si>
  <si>
    <t>29.884.041</t>
  </si>
  <si>
    <t>202.690.527</t>
  </si>
  <si>
    <t>4.975.420</t>
  </si>
  <si>
    <t>524.036.006</t>
  </si>
  <si>
    <t>17.290.696</t>
  </si>
  <si>
    <t>57.802.327</t>
  </si>
  <si>
    <t>5.336.159</t>
  </si>
  <si>
    <t>22.981.244</t>
  </si>
  <si>
    <t>39.529.509</t>
  </si>
  <si>
    <t>30.250.086</t>
  </si>
  <si>
    <t>15.069.252</t>
  </si>
  <si>
    <t>2.297.210</t>
  </si>
  <si>
    <t>414.241.866</t>
  </si>
  <si>
    <t>11.661.738</t>
  </si>
  <si>
    <t>28.370.122</t>
  </si>
  <si>
    <t>1.125.880</t>
  </si>
  <si>
    <t>246.481.694</t>
  </si>
  <si>
    <t>21.089.008</t>
  </si>
  <si>
    <t>1.349.335.934</t>
  </si>
  <si>
    <t>28.119.868</t>
  </si>
  <si>
    <t>12.999.984</t>
  </si>
  <si>
    <t>182.040.381</t>
  </si>
  <si>
    <t>67.445.270</t>
  </si>
  <si>
    <t>8.406.085</t>
  </si>
  <si>
    <t>570.936.299</t>
  </si>
  <si>
    <t>2.651.423</t>
  </si>
  <si>
    <t>89.562.410</t>
  </si>
  <si>
    <t>6.394.590</t>
  </si>
  <si>
    <t>508.701.315</t>
  </si>
  <si>
    <t>2.853.473</t>
  </si>
  <si>
    <t>186.509.781</t>
  </si>
  <si>
    <t>4.418.396</t>
  </si>
  <si>
    <t>53.923.981</t>
  </si>
  <si>
    <t>55.635.055</t>
  </si>
  <si>
    <t>60.847.186</t>
  </si>
  <si>
    <t>24.804.135</t>
  </si>
  <si>
    <t>304.044.361</t>
  </si>
  <si>
    <t>76.532.810</t>
  </si>
  <si>
    <t>20.609.962</t>
  </si>
  <si>
    <t>2.344.492.027</t>
  </si>
  <si>
    <t>260.419.098</t>
  </si>
  <si>
    <t>87.095.696</t>
  </si>
  <si>
    <t>3.281.025</t>
  </si>
  <si>
    <t>9.112.032</t>
  </si>
  <si>
    <t>171.956.831</t>
  </si>
  <si>
    <t>124.231.744</t>
  </si>
  <si>
    <t>44.670.114</t>
  </si>
  <si>
    <t>28.751.636</t>
  </si>
  <si>
    <t>102.143.326</t>
  </si>
  <si>
    <t>11.636.194</t>
  </si>
  <si>
    <t>158.806.931</t>
  </si>
  <si>
    <t>4.027.299</t>
  </si>
  <si>
    <t>28.077.104</t>
  </si>
  <si>
    <t>1.877.077</t>
  </si>
  <si>
    <t>58.758.022</t>
  </si>
  <si>
    <t>10.578.831</t>
  </si>
  <si>
    <t>29.701.885</t>
  </si>
  <si>
    <t>10.920.105</t>
  </si>
  <si>
    <t>958.794.073</t>
  </si>
  <si>
    <t>1.929.032</t>
  </si>
  <si>
    <t>112.858.755</t>
  </si>
  <si>
    <t>2.368.554</t>
  </si>
  <si>
    <t>582.542.614</t>
  </si>
  <si>
    <t>7.076.406</t>
  </si>
  <si>
    <t>156.858.998</t>
  </si>
  <si>
    <t>5.800.788</t>
  </si>
  <si>
    <t>108.771.301</t>
  </si>
  <si>
    <t>1.155.725</t>
  </si>
  <si>
    <t>4.841.235</t>
  </si>
  <si>
    <t>116.462.862</t>
  </si>
  <si>
    <t>24.523.344</t>
  </si>
  <si>
    <t>20.179.075</t>
  </si>
  <si>
    <t>341.196.898</t>
  </si>
  <si>
    <t>12.222.105</t>
  </si>
  <si>
    <t>123.602.780</t>
  </si>
  <si>
    <t>16.410.516</t>
  </si>
  <si>
    <t>41.889.580</t>
  </si>
  <si>
    <t>1.553.715</t>
  </si>
  <si>
    <t>295.003.704</t>
  </si>
  <si>
    <t>64.615.739</t>
  </si>
  <si>
    <t>1.754.514</t>
  </si>
  <si>
    <t>41.929.646</t>
  </si>
  <si>
    <t>1.578.582</t>
  </si>
  <si>
    <t>434.207.932</t>
  </si>
  <si>
    <t>1.218.241</t>
  </si>
  <si>
    <t>3.742.795.886</t>
  </si>
  <si>
    <t>57.120.992</t>
  </si>
  <si>
    <t>209.744.146</t>
  </si>
  <si>
    <t>89.303.603</t>
  </si>
  <si>
    <t>241.222.458</t>
  </si>
  <si>
    <t>29.619.896</t>
  </si>
  <si>
    <t>418.701.927</t>
  </si>
  <si>
    <t>3.387.575</t>
  </si>
  <si>
    <t>200.982.145</t>
  </si>
  <si>
    <t>4.300.623</t>
  </si>
  <si>
    <t>190.198.142</t>
  </si>
  <si>
    <t>2.612.731</t>
  </si>
  <si>
    <t>75.668.194</t>
  </si>
  <si>
    <t>1.253.727</t>
  </si>
  <si>
    <t>5.480.009</t>
  </si>
  <si>
    <t>1.001.491</t>
  </si>
  <si>
    <t>183.151.309</t>
  </si>
  <si>
    <t>10.347.700</t>
  </si>
  <si>
    <t>2.981.441.823</t>
  </si>
  <si>
    <t>6.140.334</t>
  </si>
  <si>
    <t>248.322.129</t>
  </si>
  <si>
    <t>8.005.122</t>
  </si>
  <si>
    <t>57.125.609</t>
  </si>
  <si>
    <t>124.856.256</t>
  </si>
  <si>
    <t>43.704.384</t>
  </si>
  <si>
    <t>119.413.096</t>
  </si>
  <si>
    <t>2.496.432</t>
  </si>
  <si>
    <t>93.677.228</t>
  </si>
  <si>
    <t>16.133.568</t>
  </si>
  <si>
    <t>107.907.700</t>
  </si>
  <si>
    <t>2.174.771</t>
  </si>
  <si>
    <t>76.171.721</t>
  </si>
  <si>
    <t>3.081.902</t>
  </si>
  <si>
    <t>8.643.792</t>
  </si>
  <si>
    <t>1.822.590</t>
  </si>
  <si>
    <t>102.991.673</t>
  </si>
  <si>
    <t>28.250.202</t>
  </si>
  <si>
    <t>1.593.785</t>
  </si>
  <si>
    <t>262.552.845</t>
  </si>
  <si>
    <t>4.276.839</t>
  </si>
  <si>
    <t>48.330.772</t>
  </si>
  <si>
    <t>203.218.940</t>
  </si>
  <si>
    <t>1.768.261</t>
  </si>
  <si>
    <t>244.271.839</t>
  </si>
  <si>
    <t>1.733.478</t>
  </si>
  <si>
    <t>431.184.658</t>
  </si>
  <si>
    <t>29.051.462</t>
  </si>
  <si>
    <t>1.951.254.460</t>
  </si>
  <si>
    <t>22.289.413</t>
  </si>
  <si>
    <t>26.003.087</t>
  </si>
  <si>
    <t>20.532.707</t>
  </si>
  <si>
    <t>31.876.483</t>
  </si>
  <si>
    <t>96.581.296</t>
  </si>
  <si>
    <t>46.022.979</t>
  </si>
  <si>
    <t>5.250.671.132</t>
  </si>
  <si>
    <t>22.537.588</t>
  </si>
  <si>
    <t>198.207.120</t>
  </si>
  <si>
    <t>2.403.143.456</t>
  </si>
  <si>
    <t>77.790.115</t>
  </si>
  <si>
    <t>856.742.726</t>
  </si>
  <si>
    <t>16.358.590</t>
  </si>
  <si>
    <t>55.903.715</t>
  </si>
  <si>
    <t>105.101.059</t>
  </si>
  <si>
    <t>4.597.783</t>
  </si>
  <si>
    <t>144.067.920</t>
  </si>
  <si>
    <t>4.170.617</t>
  </si>
  <si>
    <t>126.970.492</t>
  </si>
  <si>
    <t>8.488.087</t>
  </si>
  <si>
    <t>234.921.983</t>
  </si>
  <si>
    <t>17.522.532</t>
  </si>
  <si>
    <t>261.241.046</t>
  </si>
  <si>
    <t>7.120.097</t>
  </si>
  <si>
    <t>426.773.731</t>
  </si>
  <si>
    <t>7.114.456</t>
  </si>
  <si>
    <t>1.163.019.544</t>
  </si>
  <si>
    <t>32.990.316</t>
  </si>
  <si>
    <t>2.077.796.693</t>
  </si>
  <si>
    <t>9.793.367</t>
  </si>
  <si>
    <t>158.917.992</t>
  </si>
  <si>
    <t>11.671.014</t>
  </si>
  <si>
    <t>44.792.998</t>
  </si>
  <si>
    <t>7.658.507</t>
  </si>
  <si>
    <t>60.427.718</t>
  </si>
  <si>
    <t>219.717.898</t>
  </si>
  <si>
    <t>1.878.696</t>
  </si>
  <si>
    <t>79.171.507</t>
  </si>
  <si>
    <t>1.998.490</t>
  </si>
  <si>
    <t>18.845.235</t>
  </si>
  <si>
    <t>192.193.717</t>
  </si>
  <si>
    <t>3.805.722</t>
  </si>
  <si>
    <t>95.401.392</t>
  </si>
  <si>
    <t>19.456.820</t>
  </si>
  <si>
    <t>303.920.228</t>
  </si>
  <si>
    <t>1.654.976</t>
  </si>
  <si>
    <t>359.914.523</t>
  </si>
  <si>
    <t>110.128.916</t>
  </si>
  <si>
    <t>49.480.280</t>
  </si>
  <si>
    <t>1.082.571.480</t>
  </si>
  <si>
    <t>61.430.139</t>
  </si>
  <si>
    <t>181.772.574</t>
  </si>
  <si>
    <t>6.630.888</t>
  </si>
  <si>
    <t>51.581.334</t>
  </si>
  <si>
    <t>2.832.718</t>
  </si>
  <si>
    <t>834.344.026</t>
  </si>
  <si>
    <t>6.850.009</t>
  </si>
  <si>
    <t>43.218.710</t>
  </si>
  <si>
    <t>1.190.145</t>
  </si>
  <si>
    <t>7.570.119</t>
  </si>
  <si>
    <t>136.501.210</t>
  </si>
  <si>
    <t>3.182.941</t>
  </si>
  <si>
    <t>408.019.478</t>
  </si>
  <si>
    <t>3.937.519</t>
  </si>
  <si>
    <t>220.319.332</t>
  </si>
  <si>
    <t>2.315.486</t>
  </si>
  <si>
    <t>40.763.224</t>
  </si>
  <si>
    <t>11.552.875</t>
  </si>
  <si>
    <t>75.389.327</t>
  </si>
  <si>
    <t>2.149.415</t>
  </si>
  <si>
    <t>100.056.687</t>
  </si>
  <si>
    <t>2.721.387</t>
  </si>
  <si>
    <t>1.532.280.241</t>
  </si>
  <si>
    <t>39.787.990</t>
  </si>
  <si>
    <t>63.321.648</t>
  </si>
  <si>
    <t>1.627.590</t>
  </si>
  <si>
    <t>120.040.715</t>
  </si>
  <si>
    <t>4.083.058</t>
  </si>
  <si>
    <t>93.835.041</t>
  </si>
  <si>
    <t>3.462.391</t>
  </si>
  <si>
    <t>154.551.181</t>
  </si>
  <si>
    <t>9.246.312</t>
  </si>
  <si>
    <t>171.049.374</t>
  </si>
  <si>
    <t>16.117.469</t>
  </si>
  <si>
    <t>252.317.745</t>
  </si>
  <si>
    <t>1.044.249.369</t>
  </si>
  <si>
    <t>3.686.232</t>
  </si>
  <si>
    <t>11.451.127</t>
  </si>
  <si>
    <t>207.311.110</t>
  </si>
  <si>
    <t>3.839.497</t>
  </si>
  <si>
    <t>475.926.547</t>
  </si>
  <si>
    <t>44.724.940</t>
  </si>
  <si>
    <t>8.093.858.823</t>
  </si>
  <si>
    <t>162.046.408</t>
  </si>
  <si>
    <t>88.518.697</t>
  </si>
  <si>
    <t>6.097.737</t>
  </si>
  <si>
    <t>72.764.425</t>
  </si>
  <si>
    <t>23.163.977</t>
  </si>
  <si>
    <t>2.067.855.599</t>
  </si>
  <si>
    <t>1.977.998</t>
  </si>
  <si>
    <t>37.390.024</t>
  </si>
  <si>
    <t>1.383.652</t>
  </si>
  <si>
    <t>122.821.849</t>
  </si>
  <si>
    <t>2.048.111</t>
  </si>
  <si>
    <t>119.704.552</t>
  </si>
  <si>
    <t>8.494.366</t>
  </si>
  <si>
    <t>152.587.918</t>
  </si>
  <si>
    <t>1.122.085.841</t>
  </si>
  <si>
    <t>127.538.213</t>
  </si>
  <si>
    <t>841.994.546</t>
  </si>
  <si>
    <t>5.385.691</t>
  </si>
  <si>
    <t>1.744.546.056</t>
  </si>
  <si>
    <t>95.022.315</t>
  </si>
  <si>
    <t>37.653.744</t>
  </si>
  <si>
    <t>19.578.363</t>
  </si>
  <si>
    <t>128.217.421</t>
  </si>
  <si>
    <t>42.310.626</t>
  </si>
  <si>
    <t>10.885.174</t>
  </si>
  <si>
    <t>71.142.194</t>
  </si>
  <si>
    <t>14.418.105</t>
  </si>
  <si>
    <t>64.738.285</t>
  </si>
  <si>
    <t>3.844.118</t>
  </si>
  <si>
    <t>78.733.568</t>
  </si>
  <si>
    <t>3.286.153</t>
  </si>
  <si>
    <t>464.257.446</t>
  </si>
  <si>
    <t>8.469.631</t>
  </si>
  <si>
    <t>51.668.263</t>
  </si>
  <si>
    <t>4.638.276</t>
  </si>
  <si>
    <t>56.616.348</t>
  </si>
  <si>
    <t>9.363.071</t>
  </si>
  <si>
    <t>1.490.403.576</t>
  </si>
  <si>
    <t>73.130.540</t>
  </si>
  <si>
    <t>795.411.606</t>
  </si>
  <si>
    <t>3.860.872</t>
  </si>
  <si>
    <t>372.580.420</t>
  </si>
  <si>
    <t>14.499.629</t>
  </si>
  <si>
    <t>2.018.775.439</t>
  </si>
  <si>
    <t>93.870.994</t>
  </si>
  <si>
    <t>76.374.881</t>
  </si>
  <si>
    <t>2.951.097</t>
  </si>
  <si>
    <t>171.029.076</t>
  </si>
  <si>
    <t>6.216.279</t>
  </si>
  <si>
    <t>23.953.708</t>
  </si>
  <si>
    <t>1.604.993</t>
  </si>
  <si>
    <t>480.132.990</t>
  </si>
  <si>
    <t>4.773.079</t>
  </si>
  <si>
    <t>37.702.971</t>
  </si>
  <si>
    <t>8.070.192</t>
  </si>
  <si>
    <t>65.191.913</t>
  </si>
  <si>
    <t>11.039.194</t>
  </si>
  <si>
    <t>131.122.775</t>
  </si>
  <si>
    <t>1.498.546</t>
  </si>
  <si>
    <t>144.509.890</t>
  </si>
  <si>
    <t>11.858.574</t>
  </si>
  <si>
    <t>193.333.765</t>
  </si>
  <si>
    <t>59.077.201</t>
  </si>
  <si>
    <t>3.561.201</t>
  </si>
  <si>
    <t>2.586.110.357</t>
  </si>
  <si>
    <t>26.159.387</t>
  </si>
  <si>
    <t>36.578.779</t>
  </si>
  <si>
    <t>2.464.683</t>
  </si>
  <si>
    <t>2.028.024.449</t>
  </si>
  <si>
    <t>41.507.737</t>
  </si>
  <si>
    <t>95.209.910</t>
  </si>
  <si>
    <t>12.728.772</t>
  </si>
  <si>
    <t>22.981.514</t>
  </si>
  <si>
    <t>1.544.225</t>
  </si>
  <si>
    <t>417.924.225</t>
  </si>
  <si>
    <t>6.888.255</t>
  </si>
  <si>
    <t>153.135.396</t>
  </si>
  <si>
    <t>2.932.627</t>
  </si>
  <si>
    <t>76.683.186</t>
  </si>
  <si>
    <t>2.593.771</t>
  </si>
  <si>
    <t>84.648.895</t>
  </si>
  <si>
    <t>1.728.791</t>
  </si>
  <si>
    <t>96.924.500</t>
  </si>
  <si>
    <t>7.453.182</t>
  </si>
  <si>
    <t>1.005.835.982</t>
  </si>
  <si>
    <t>449.773.295</t>
  </si>
  <si>
    <t>103.047.116</t>
  </si>
  <si>
    <t>7.510.533</t>
  </si>
  <si>
    <t>4.970.366.983</t>
  </si>
  <si>
    <t>28.853.214</t>
  </si>
  <si>
    <t>65.019.453</t>
  </si>
  <si>
    <t>795.129.994</t>
  </si>
  <si>
    <t>34.217.530</t>
  </si>
  <si>
    <t>92.810.599</t>
  </si>
  <si>
    <t>27.833.675</t>
  </si>
  <si>
    <t>22.370.799</t>
  </si>
  <si>
    <t>4.711.261</t>
  </si>
  <si>
    <t>35.043.549</t>
  </si>
  <si>
    <t>3.676.892</t>
  </si>
  <si>
    <t>4.454.901.840</t>
  </si>
  <si>
    <t>137.606.373</t>
  </si>
  <si>
    <t>90.523.574</t>
  </si>
  <si>
    <t>7.343.653</t>
  </si>
  <si>
    <t>10.503.464</t>
  </si>
  <si>
    <t>13.796.496</t>
  </si>
  <si>
    <t>35.168.181</t>
  </si>
  <si>
    <t>11.275.260</t>
  </si>
  <si>
    <t>3.862.415</t>
  </si>
  <si>
    <t>395.952.719</t>
  </si>
  <si>
    <t>17.242.712</t>
  </si>
  <si>
    <t>2.414.970</t>
  </si>
  <si>
    <t>12.294.433</t>
  </si>
  <si>
    <t>80.373.228</t>
  </si>
  <si>
    <t>81.826.620</t>
  </si>
  <si>
    <t>28.789.565</t>
  </si>
  <si>
    <t>2.512.540</t>
  </si>
  <si>
    <t>10.375.114</t>
  </si>
  <si>
    <t>47.871.236</t>
  </si>
  <si>
    <t>4.525.307</t>
  </si>
  <si>
    <t>33.440.269</t>
  </si>
  <si>
    <t>1.355.626</t>
  </si>
  <si>
    <t>3360457,50</t>
  </si>
  <si>
    <t>7000000,00</t>
  </si>
  <si>
    <t>6299997,50</t>
  </si>
  <si>
    <t>1.046.095.038</t>
  </si>
  <si>
    <t>1.357.308.196</t>
  </si>
  <si>
    <t>516.192.713</t>
  </si>
  <si>
    <t>193.033.358</t>
  </si>
  <si>
    <t>50.056.432</t>
  </si>
  <si>
    <t>6.488.449.043</t>
  </si>
  <si>
    <t>212.241.597</t>
  </si>
  <si>
    <t>19.258.570</t>
  </si>
  <si>
    <t>23.759.962</t>
  </si>
  <si>
    <t>592.128.229</t>
  </si>
  <si>
    <t>700.162.609</t>
  </si>
  <si>
    <t>1.747.632.154</t>
  </si>
  <si>
    <t>102.665.263</t>
  </si>
  <si>
    <t>112.265.454</t>
  </si>
  <si>
    <t>89.376.636</t>
  </si>
  <si>
    <t>4.819.110.280</t>
  </si>
  <si>
    <t>57.475.206</t>
  </si>
  <si>
    <t>10.372.172.988</t>
  </si>
  <si>
    <t>11.218.187</t>
  </si>
  <si>
    <t>106.718.229.486</t>
  </si>
  <si>
    <t>2.628.420.957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</si>
</sst>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₺&quot;* #,##0.00_-;\-&quot;₺&quot;* #,##0.00_-;_-&quot;₺&quot;* &quot;-&quot;??_-;_-@_-"/>
  </numFmts>
  <fonts count="15">
    <font>
      <sz val="11"/>
      <color theme="1"/>
      <name val="Calibri"/>
      <family val="2"/>
      <charset val="162"/>
      <scheme val="minor"/>
    </font>
    <font>
      <sz val="11"/>
      <color rgb="FFFFFFFF"/>
      <name val="__ibmPlexMono_57d8d7"/>
    </font>
    <font>
      <b/>
      <sz val="11"/>
      <color theme="1"/>
      <name val="__ibmPlexMono_57d8d7"/>
    </font>
    <font>
      <sz val="11"/>
      <color theme="1"/>
      <name val="__ibmPlexMono_57d8d7"/>
    </font>
    <font>
      <sz val="8"/>
      <color theme="1"/>
      <name val="__ibmPlexMono_57d8d7"/>
    </font>
    <font>
      <sz val="9"/>
      <color theme="1"/>
      <name val="__ibmPlexMono_57d8d7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2"/>
      <color theme="1"/>
      <name val="Segoe UI"/>
      <family val="2"/>
      <charset val="162"/>
    </font>
    <font>
      <sz val="11"/>
      <color theme="1"/>
      <name val="Segoe UI"/>
      <family val="2"/>
      <charset val="162"/>
    </font>
    <font>
      <b/>
      <sz val="12"/>
      <color rgb="FF006100"/>
      <name val="Segoe UI"/>
      <family val="2"/>
      <charset val="162"/>
    </font>
    <font>
      <b/>
      <sz val="18"/>
      <color rgb="FF006100"/>
      <name val="Segoe UI"/>
      <family val="2"/>
      <charset val="162"/>
    </font>
    <font>
      <sz val="12"/>
      <color theme="1"/>
      <name val="Calibri"/>
      <family val="2"/>
      <charset val="162"/>
      <scheme val="minor"/>
    </font>
    <font>
      <b/>
      <sz val="12"/>
      <color rgb="FF9C0006"/>
      <name val="Segoe UI"/>
      <family val="2"/>
      <charset val="162"/>
    </font>
    <font>
      <b/>
      <sz val="14"/>
      <color rgb="FFC00000"/>
      <name val="Segoe UI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6" fillId="0" borderId="0"/>
    <xf numFmtId="44" fontId="6" fillId="0" borderId="0" applyFont="0" applyFill="0" applyBorder="0" applyAlignment="0" applyProtection="0"/>
    <xf numFmtId="9" fontId="7" fillId="0" borderId="0" applyFont="0" applyFill="0" applyBorder="0" applyAlignment="0" applyProtection="0"/>
  </cellStyleXfs>
  <cellXfs count="24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right" vertical="center" wrapText="1"/>
    </xf>
    <xf numFmtId="0" fontId="3" fillId="0" borderId="0" xfId="0" applyFont="1" applyAlignment="1">
      <alignment horizontal="left" vertical="center"/>
    </xf>
    <xf numFmtId="21" fontId="4" fillId="0" borderId="0" xfId="0" applyNumberFormat="1" applyFont="1" applyAlignment="1">
      <alignment horizontal="left" vertical="center"/>
    </xf>
    <xf numFmtId="10" fontId="5" fillId="0" borderId="0" xfId="0" applyNumberFormat="1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14" fontId="8" fillId="0" borderId="0" xfId="0" applyNumberFormat="1" applyFont="1" applyAlignment="1">
      <alignment horizontal="center" vertical="center"/>
    </xf>
    <xf numFmtId="10" fontId="10" fillId="0" borderId="0" xfId="3" applyNumberFormat="1" applyFont="1"/>
    <xf numFmtId="10" fontId="8" fillId="0" borderId="0" xfId="3" applyNumberFormat="1" applyFont="1"/>
    <xf numFmtId="10" fontId="11" fillId="0" borderId="0" xfId="0" applyNumberFormat="1" applyFont="1" applyAlignment="1">
      <alignment horizontal="center" vertical="center"/>
    </xf>
    <xf numFmtId="10" fontId="10" fillId="0" borderId="0" xfId="0" applyNumberFormat="1" applyFont="1" applyAlignment="1">
      <alignment horizontal="center" vertical="center"/>
    </xf>
    <xf numFmtId="0" fontId="12" fillId="0" borderId="0" xfId="0" applyFont="1"/>
    <xf numFmtId="10" fontId="12" fillId="0" borderId="0" xfId="0" applyNumberFormat="1" applyFont="1"/>
    <xf numFmtId="10" fontId="11" fillId="2" borderId="0" xfId="0" applyNumberFormat="1" applyFont="1" applyFill="1" applyAlignment="1">
      <alignment horizontal="center" vertical="center"/>
    </xf>
    <xf numFmtId="10" fontId="10" fillId="2" borderId="0" xfId="3" applyNumberFormat="1" applyFont="1" applyFill="1"/>
    <xf numFmtId="10" fontId="13" fillId="3" borderId="0" xfId="3" applyNumberFormat="1" applyFont="1" applyFill="1"/>
    <xf numFmtId="10" fontId="13" fillId="0" borderId="0" xfId="3" applyNumberFormat="1" applyFont="1"/>
    <xf numFmtId="9" fontId="8" fillId="0" borderId="0" xfId="3" applyFont="1"/>
    <xf numFmtId="10" fontId="3" fillId="0" borderId="0" xfId="0" applyNumberFormat="1" applyFont="1" applyAlignment="1">
      <alignment horizontal="right" vertical="center"/>
    </xf>
    <xf numFmtId="10" fontId="14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 vertical="center"/>
    </xf>
  </cellXfs>
  <cellStyles count="4">
    <cellStyle name="Normal" xfId="0" builtinId="0"/>
    <cellStyle name="Normal 2" xfId="1" xr:uid="{2D888766-0D91-441D-AF96-B26D1DFC2971}"/>
    <cellStyle name="ParaBirimi 2" xfId="2" xr:uid="{B23B31B8-CA3E-4A2E-B724-F42D9428F144}"/>
    <cellStyle name="Yüzde" xfId="3" builtinId="5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006100"/>
      <color rgb="FF9C0006"/>
      <color rgb="FFFFC7CE"/>
      <color rgb="FFC6EF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hyperlink" Target="https://fintables.com/sirketler/SOKM" TargetMode="External"/><Relationship Id="rId18" Type="http://schemas.openxmlformats.org/officeDocument/2006/relationships/image" Target="../media/image9.png"/><Relationship Id="rId26" Type="http://schemas.openxmlformats.org/officeDocument/2006/relationships/image" Target="../media/image13.png"/><Relationship Id="rId39" Type="http://schemas.openxmlformats.org/officeDocument/2006/relationships/hyperlink" Target="https://fintables.com/sirketler/AGESA" TargetMode="External"/><Relationship Id="rId21" Type="http://schemas.openxmlformats.org/officeDocument/2006/relationships/hyperlink" Target="https://fintables.com/sirketler/TUPRS" TargetMode="External"/><Relationship Id="rId34" Type="http://schemas.openxmlformats.org/officeDocument/2006/relationships/image" Target="../media/image17.jpeg"/><Relationship Id="rId42" Type="http://schemas.openxmlformats.org/officeDocument/2006/relationships/image" Target="../media/image21.jpeg"/><Relationship Id="rId47" Type="http://schemas.openxmlformats.org/officeDocument/2006/relationships/hyperlink" Target="https://fintables.com/sirketler/EKGYO" TargetMode="External"/><Relationship Id="rId50" Type="http://schemas.openxmlformats.org/officeDocument/2006/relationships/image" Target="../media/image25.png"/><Relationship Id="rId55" Type="http://schemas.openxmlformats.org/officeDocument/2006/relationships/hyperlink" Target="https://fintables.com/sirketler/THYAO" TargetMode="External"/><Relationship Id="rId7" Type="http://schemas.openxmlformats.org/officeDocument/2006/relationships/hyperlink" Target="https://fintables.com/sirketler/TCELL" TargetMode="External"/><Relationship Id="rId2" Type="http://schemas.openxmlformats.org/officeDocument/2006/relationships/image" Target="../media/image1.png"/><Relationship Id="rId16" Type="http://schemas.openxmlformats.org/officeDocument/2006/relationships/image" Target="../media/image8.png"/><Relationship Id="rId29" Type="http://schemas.openxmlformats.org/officeDocument/2006/relationships/hyperlink" Target="https://fintables.com/sirketler/AKGRT" TargetMode="External"/><Relationship Id="rId11" Type="http://schemas.openxmlformats.org/officeDocument/2006/relationships/hyperlink" Target="https://fintables.com/sirketler/ISCTR" TargetMode="External"/><Relationship Id="rId24" Type="http://schemas.openxmlformats.org/officeDocument/2006/relationships/image" Target="../media/image12.png"/><Relationship Id="rId32" Type="http://schemas.openxmlformats.org/officeDocument/2006/relationships/image" Target="../media/image16.png"/><Relationship Id="rId37" Type="http://schemas.openxmlformats.org/officeDocument/2006/relationships/hyperlink" Target="https://fintables.com/sirketler/TTKOM" TargetMode="External"/><Relationship Id="rId40" Type="http://schemas.openxmlformats.org/officeDocument/2006/relationships/image" Target="../media/image20.png"/><Relationship Id="rId45" Type="http://schemas.openxmlformats.org/officeDocument/2006/relationships/hyperlink" Target="https://fintables.com/sirketler/ENKAI" TargetMode="External"/><Relationship Id="rId53" Type="http://schemas.openxmlformats.org/officeDocument/2006/relationships/hyperlink" Target="https://fintables.com/sirketler/DYOBY" TargetMode="External"/><Relationship Id="rId58" Type="http://schemas.openxmlformats.org/officeDocument/2006/relationships/image" Target="../media/image29.png"/><Relationship Id="rId5" Type="http://schemas.openxmlformats.org/officeDocument/2006/relationships/hyperlink" Target="https://fintables.com/sirketler/PGSUS" TargetMode="External"/><Relationship Id="rId61" Type="http://schemas.openxmlformats.org/officeDocument/2006/relationships/hyperlink" Target="https://fintables.com/sirketler/ASELS" TargetMode="External"/><Relationship Id="rId19" Type="http://schemas.openxmlformats.org/officeDocument/2006/relationships/hyperlink" Target="https://fintables.com/sirketler/TAVHL" TargetMode="External"/><Relationship Id="rId14" Type="http://schemas.openxmlformats.org/officeDocument/2006/relationships/image" Target="../media/image7.png"/><Relationship Id="rId22" Type="http://schemas.openxmlformats.org/officeDocument/2006/relationships/image" Target="../media/image11.png"/><Relationship Id="rId27" Type="http://schemas.openxmlformats.org/officeDocument/2006/relationships/hyperlink" Target="https://fintables.com/sirketler/LKMNH" TargetMode="External"/><Relationship Id="rId30" Type="http://schemas.openxmlformats.org/officeDocument/2006/relationships/image" Target="../media/image15.png"/><Relationship Id="rId35" Type="http://schemas.openxmlformats.org/officeDocument/2006/relationships/hyperlink" Target="https://fintables.com/sirketler/YKBNK" TargetMode="External"/><Relationship Id="rId43" Type="http://schemas.openxmlformats.org/officeDocument/2006/relationships/hyperlink" Target="https://fintables.com/sirketler/VAKBN" TargetMode="External"/><Relationship Id="rId48" Type="http://schemas.openxmlformats.org/officeDocument/2006/relationships/image" Target="../media/image24.png"/><Relationship Id="rId56" Type="http://schemas.openxmlformats.org/officeDocument/2006/relationships/image" Target="../media/image28.png"/><Relationship Id="rId8" Type="http://schemas.openxmlformats.org/officeDocument/2006/relationships/image" Target="../media/image4.png"/><Relationship Id="rId51" Type="http://schemas.openxmlformats.org/officeDocument/2006/relationships/hyperlink" Target="https://fintables.com/sirketler/KRVGD" TargetMode="External"/><Relationship Id="rId3" Type="http://schemas.openxmlformats.org/officeDocument/2006/relationships/hyperlink" Target="https://fintables.com/sirketler/MAVI" TargetMode="External"/><Relationship Id="rId12" Type="http://schemas.openxmlformats.org/officeDocument/2006/relationships/image" Target="../media/image6.png"/><Relationship Id="rId17" Type="http://schemas.openxmlformats.org/officeDocument/2006/relationships/hyperlink" Target="https://fintables.com/sirketler/KCHOL" TargetMode="External"/><Relationship Id="rId25" Type="http://schemas.openxmlformats.org/officeDocument/2006/relationships/hyperlink" Target="https://fintables.com/sirketler/TABGD" TargetMode="External"/><Relationship Id="rId33" Type="http://schemas.openxmlformats.org/officeDocument/2006/relationships/hyperlink" Target="https://fintables.com/sirketler/TRGYO" TargetMode="External"/><Relationship Id="rId38" Type="http://schemas.openxmlformats.org/officeDocument/2006/relationships/image" Target="../media/image19.png"/><Relationship Id="rId46" Type="http://schemas.openxmlformats.org/officeDocument/2006/relationships/image" Target="../media/image23.png"/><Relationship Id="rId59" Type="http://schemas.openxmlformats.org/officeDocument/2006/relationships/hyperlink" Target="https://fintables.com/sirketler/KRDMD" TargetMode="External"/><Relationship Id="rId20" Type="http://schemas.openxmlformats.org/officeDocument/2006/relationships/image" Target="../media/image10.png"/><Relationship Id="rId41" Type="http://schemas.openxmlformats.org/officeDocument/2006/relationships/hyperlink" Target="https://fintables.com/sirketler/GARAN" TargetMode="External"/><Relationship Id="rId54" Type="http://schemas.openxmlformats.org/officeDocument/2006/relationships/image" Target="../media/image27.png"/><Relationship Id="rId62" Type="http://schemas.openxmlformats.org/officeDocument/2006/relationships/image" Target="../media/image31.png"/><Relationship Id="rId1" Type="http://schemas.openxmlformats.org/officeDocument/2006/relationships/hyperlink" Target="https://fintables.com/sirketler/BIMAS" TargetMode="External"/><Relationship Id="rId6" Type="http://schemas.openxmlformats.org/officeDocument/2006/relationships/image" Target="../media/image3.png"/><Relationship Id="rId15" Type="http://schemas.openxmlformats.org/officeDocument/2006/relationships/hyperlink" Target="https://fintables.com/sirketler/AGHOL" TargetMode="External"/><Relationship Id="rId23" Type="http://schemas.openxmlformats.org/officeDocument/2006/relationships/hyperlink" Target="https://fintables.com/sirketler/AKBNK" TargetMode="External"/><Relationship Id="rId28" Type="http://schemas.openxmlformats.org/officeDocument/2006/relationships/image" Target="../media/image14.png"/><Relationship Id="rId36" Type="http://schemas.openxmlformats.org/officeDocument/2006/relationships/image" Target="../media/image18.jpeg"/><Relationship Id="rId49" Type="http://schemas.openxmlformats.org/officeDocument/2006/relationships/hyperlink" Target="https://fintables.com/sirketler/SAHOL" TargetMode="External"/><Relationship Id="rId57" Type="http://schemas.openxmlformats.org/officeDocument/2006/relationships/hyperlink" Target="https://fintables.com/sirketler/DGNMO" TargetMode="External"/><Relationship Id="rId10" Type="http://schemas.openxmlformats.org/officeDocument/2006/relationships/image" Target="../media/image5.png"/><Relationship Id="rId31" Type="http://schemas.openxmlformats.org/officeDocument/2006/relationships/hyperlink" Target="https://fintables.com/sirketler/TOASO" TargetMode="External"/><Relationship Id="rId44" Type="http://schemas.openxmlformats.org/officeDocument/2006/relationships/image" Target="../media/image22.png"/><Relationship Id="rId52" Type="http://schemas.openxmlformats.org/officeDocument/2006/relationships/image" Target="../media/image26.png"/><Relationship Id="rId60" Type="http://schemas.openxmlformats.org/officeDocument/2006/relationships/image" Target="../media/image30.png"/><Relationship Id="rId4" Type="http://schemas.openxmlformats.org/officeDocument/2006/relationships/image" Target="../media/image2.png"/><Relationship Id="rId9" Type="http://schemas.openxmlformats.org/officeDocument/2006/relationships/hyperlink" Target="https://fintables.com/sirketler/CCOLA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4</xdr:row>
      <xdr:rowOff>0</xdr:rowOff>
    </xdr:from>
    <xdr:to>
      <xdr:col>0</xdr:col>
      <xdr:colOff>266700</xdr:colOff>
      <xdr:row>5</xdr:row>
      <xdr:rowOff>76200</xdr:rowOff>
    </xdr:to>
    <xdr:pic>
      <xdr:nvPicPr>
        <xdr:cNvPr id="63" name="Resim 62" descr="Bim Birleşik Mağazalar A.Ş. Şirket Logosu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CC078732-3478-3CBD-21C1-F49E4F1039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3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</xdr:row>
      <xdr:rowOff>0</xdr:rowOff>
    </xdr:from>
    <xdr:to>
      <xdr:col>0</xdr:col>
      <xdr:colOff>266700</xdr:colOff>
      <xdr:row>10</xdr:row>
      <xdr:rowOff>76200</xdr:rowOff>
    </xdr:to>
    <xdr:pic>
      <xdr:nvPicPr>
        <xdr:cNvPr id="64" name="Resim 63" descr="Mavi Giyim Sanayi ve Ticaret A.Ş. Şirket Logosu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782660B-9E6A-7F04-53BF-0438FA4F01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8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266700</xdr:colOff>
      <xdr:row>15</xdr:row>
      <xdr:rowOff>76200</xdr:rowOff>
    </xdr:to>
    <xdr:pic>
      <xdr:nvPicPr>
        <xdr:cNvPr id="65" name="Resim 64" descr="Pegasus Hava Taşımacılığı A.Ş. Şirket Logosu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11E71CD-E140-F021-1D31-EA567C35CC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3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266700</xdr:colOff>
      <xdr:row>20</xdr:row>
      <xdr:rowOff>76200</xdr:rowOff>
    </xdr:to>
    <xdr:pic>
      <xdr:nvPicPr>
        <xdr:cNvPr id="66" name="Resim 65" descr="Turkcell İletişim Hizmetleri A.Ş. Şirket Logosu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CB94D41-0233-A389-D4FC-5F0DAB6602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379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24</xdr:row>
      <xdr:rowOff>0</xdr:rowOff>
    </xdr:from>
    <xdr:to>
      <xdr:col>0</xdr:col>
      <xdr:colOff>266700</xdr:colOff>
      <xdr:row>25</xdr:row>
      <xdr:rowOff>76200</xdr:rowOff>
    </xdr:to>
    <xdr:pic>
      <xdr:nvPicPr>
        <xdr:cNvPr id="67" name="Resim 66" descr="Coca-Cola İçecek A.Ş. Şirket Logosu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EDAF5B48-7335-72C8-E718-F6E5FAD3E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474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29</xdr:row>
      <xdr:rowOff>0</xdr:rowOff>
    </xdr:from>
    <xdr:to>
      <xdr:col>0</xdr:col>
      <xdr:colOff>266700</xdr:colOff>
      <xdr:row>30</xdr:row>
      <xdr:rowOff>76200</xdr:rowOff>
    </xdr:to>
    <xdr:pic>
      <xdr:nvPicPr>
        <xdr:cNvPr id="68" name="Resim 67" descr="Türkiye İş Bankası A.Ş. Şirket Logosu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68AD7C77-F146-3AC7-9405-92387F98509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69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266700</xdr:colOff>
      <xdr:row>35</xdr:row>
      <xdr:rowOff>76200</xdr:rowOff>
    </xdr:to>
    <xdr:pic>
      <xdr:nvPicPr>
        <xdr:cNvPr id="69" name="Resim 68" descr="Şok Marketler Ticaret A.Ş. Şirket Logosu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1620937A-55F6-CF75-AA67-9C89061CD6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4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266700</xdr:colOff>
      <xdr:row>40</xdr:row>
      <xdr:rowOff>76200</xdr:rowOff>
    </xdr:to>
    <xdr:pic>
      <xdr:nvPicPr>
        <xdr:cNvPr id="70" name="Resim 69" descr="AG Anadolu Grubu Holding A.Ş. Şirket Logosu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2344E215-0467-4C44-DCBA-34E07A3078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760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266700</xdr:colOff>
      <xdr:row>45</xdr:row>
      <xdr:rowOff>76200</xdr:rowOff>
    </xdr:to>
    <xdr:pic>
      <xdr:nvPicPr>
        <xdr:cNvPr id="71" name="Resim 70" descr="Koç Holding A.Ş. Şirket Logosu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E78C2E5-B5E6-CA71-1AE4-6F372319F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55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266700</xdr:colOff>
      <xdr:row>50</xdr:row>
      <xdr:rowOff>76200</xdr:rowOff>
    </xdr:to>
    <xdr:pic>
      <xdr:nvPicPr>
        <xdr:cNvPr id="72" name="Resim 71" descr="Tav Havalimanları Holding A.Ş. Şirket Logosu">
          <a:hlinkClick xmlns:r="http://schemas.openxmlformats.org/officeDocument/2006/relationships" r:id="rId19"/>
          <a:extLst>
            <a:ext uri="{FF2B5EF4-FFF2-40B4-BE49-F238E27FC236}">
              <a16:creationId xmlns:a16="http://schemas.microsoft.com/office/drawing/2014/main" id="{02B09D7D-5725-FFF7-FE4D-295AA8B56B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950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54</xdr:row>
      <xdr:rowOff>0</xdr:rowOff>
    </xdr:from>
    <xdr:to>
      <xdr:col>0</xdr:col>
      <xdr:colOff>266700</xdr:colOff>
      <xdr:row>55</xdr:row>
      <xdr:rowOff>76200</xdr:rowOff>
    </xdr:to>
    <xdr:pic>
      <xdr:nvPicPr>
        <xdr:cNvPr id="73" name="Resim 72" descr="TÜPRAŞ - Türkiye Petrol Rafinerileri A.Ş. Şirket Logosu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76E72664-EE35-D49C-EEE8-3480D287665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045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59</xdr:row>
      <xdr:rowOff>0</xdr:rowOff>
    </xdr:from>
    <xdr:to>
      <xdr:col>0</xdr:col>
      <xdr:colOff>266700</xdr:colOff>
      <xdr:row>60</xdr:row>
      <xdr:rowOff>76200</xdr:rowOff>
    </xdr:to>
    <xdr:pic>
      <xdr:nvPicPr>
        <xdr:cNvPr id="74" name="Resim 73" descr="Akbank T.A.Ş. Şirket Logosu">
          <a:hlinkClick xmlns:r="http://schemas.openxmlformats.org/officeDocument/2006/relationships" r:id="rId23"/>
          <a:extLst>
            <a:ext uri="{FF2B5EF4-FFF2-40B4-BE49-F238E27FC236}">
              <a16:creationId xmlns:a16="http://schemas.microsoft.com/office/drawing/2014/main" id="{AE6B43BD-51CE-DBC2-0295-A96C687975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141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64</xdr:row>
      <xdr:rowOff>0</xdr:rowOff>
    </xdr:from>
    <xdr:to>
      <xdr:col>0</xdr:col>
      <xdr:colOff>266700</xdr:colOff>
      <xdr:row>65</xdr:row>
      <xdr:rowOff>76200</xdr:rowOff>
    </xdr:to>
    <xdr:pic>
      <xdr:nvPicPr>
        <xdr:cNvPr id="75" name="Resim 74" descr="TAB Gıda Sanayi ve Ticaret A.Ş. Şirket Logosu">
          <a:hlinkClick xmlns:r="http://schemas.openxmlformats.org/officeDocument/2006/relationships" r:id="rId25"/>
          <a:extLst>
            <a:ext uri="{FF2B5EF4-FFF2-40B4-BE49-F238E27FC236}">
              <a16:creationId xmlns:a16="http://schemas.microsoft.com/office/drawing/2014/main" id="{10CB2AE7-61FA-71FB-0313-FEFD8A1DF1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236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0</xdr:col>
      <xdr:colOff>266700</xdr:colOff>
      <xdr:row>70</xdr:row>
      <xdr:rowOff>76200</xdr:rowOff>
    </xdr:to>
    <xdr:pic>
      <xdr:nvPicPr>
        <xdr:cNvPr id="76" name="Resim 75" descr="Lokman Hekim Engürüsağ Sağlık, Turizm, Eğitim Hizmetleri ve İnşaat Taahhüt A.Ş. Şirket Logosu">
          <a:hlinkClick xmlns:r="http://schemas.openxmlformats.org/officeDocument/2006/relationships" r:id="rId27"/>
          <a:extLst>
            <a:ext uri="{FF2B5EF4-FFF2-40B4-BE49-F238E27FC236}">
              <a16:creationId xmlns:a16="http://schemas.microsoft.com/office/drawing/2014/main" id="{B7C1679A-6F0F-4B60-9D90-605075F8BC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331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74</xdr:row>
      <xdr:rowOff>0</xdr:rowOff>
    </xdr:from>
    <xdr:to>
      <xdr:col>0</xdr:col>
      <xdr:colOff>266700</xdr:colOff>
      <xdr:row>75</xdr:row>
      <xdr:rowOff>76200</xdr:rowOff>
    </xdr:to>
    <xdr:pic>
      <xdr:nvPicPr>
        <xdr:cNvPr id="77" name="Resim 76" descr="Aksigorta A.Ş. Şirket Logosu">
          <a:hlinkClick xmlns:r="http://schemas.openxmlformats.org/officeDocument/2006/relationships" r:id="rId29"/>
          <a:extLst>
            <a:ext uri="{FF2B5EF4-FFF2-40B4-BE49-F238E27FC236}">
              <a16:creationId xmlns:a16="http://schemas.microsoft.com/office/drawing/2014/main" id="{CC99CE44-3204-4FC8-EAEC-288BE2EFC9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426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79</xdr:row>
      <xdr:rowOff>0</xdr:rowOff>
    </xdr:from>
    <xdr:to>
      <xdr:col>0</xdr:col>
      <xdr:colOff>266700</xdr:colOff>
      <xdr:row>80</xdr:row>
      <xdr:rowOff>76200</xdr:rowOff>
    </xdr:to>
    <xdr:pic>
      <xdr:nvPicPr>
        <xdr:cNvPr id="78" name="Resim 77" descr="Tofaş Türk Otomobil Fabrikası A.Ş. Şirket Logosu">
          <a:hlinkClick xmlns:r="http://schemas.openxmlformats.org/officeDocument/2006/relationships" r:id="rId31"/>
          <a:extLst>
            <a:ext uri="{FF2B5EF4-FFF2-40B4-BE49-F238E27FC236}">
              <a16:creationId xmlns:a16="http://schemas.microsoft.com/office/drawing/2014/main" id="{3AB1DCA0-EAD6-1506-9479-3484F816E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522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84</xdr:row>
      <xdr:rowOff>0</xdr:rowOff>
    </xdr:from>
    <xdr:to>
      <xdr:col>0</xdr:col>
      <xdr:colOff>266700</xdr:colOff>
      <xdr:row>85</xdr:row>
      <xdr:rowOff>76200</xdr:rowOff>
    </xdr:to>
    <xdr:pic>
      <xdr:nvPicPr>
        <xdr:cNvPr id="79" name="Resim 78" descr="Torunlar Gayrimenkul Yatırım Ortaklığı A.Ş. Şirket Logosu">
          <a:hlinkClick xmlns:r="http://schemas.openxmlformats.org/officeDocument/2006/relationships" r:id="rId33"/>
          <a:extLst>
            <a:ext uri="{FF2B5EF4-FFF2-40B4-BE49-F238E27FC236}">
              <a16:creationId xmlns:a16="http://schemas.microsoft.com/office/drawing/2014/main" id="{0E60FC4B-0CC7-F12E-ED5B-7A8E7A1B32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7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89</xdr:row>
      <xdr:rowOff>0</xdr:rowOff>
    </xdr:from>
    <xdr:to>
      <xdr:col>0</xdr:col>
      <xdr:colOff>266700</xdr:colOff>
      <xdr:row>90</xdr:row>
      <xdr:rowOff>76200</xdr:rowOff>
    </xdr:to>
    <xdr:pic>
      <xdr:nvPicPr>
        <xdr:cNvPr id="80" name="Resim 79" descr="Yapı ve Kredi Bankası A.Ş. Şirket Logosu">
          <a:hlinkClick xmlns:r="http://schemas.openxmlformats.org/officeDocument/2006/relationships" r:id="rId35"/>
          <a:extLst>
            <a:ext uri="{FF2B5EF4-FFF2-40B4-BE49-F238E27FC236}">
              <a16:creationId xmlns:a16="http://schemas.microsoft.com/office/drawing/2014/main" id="{D892013E-D69C-30B4-A7E9-9992114AE0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712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94</xdr:row>
      <xdr:rowOff>0</xdr:rowOff>
    </xdr:from>
    <xdr:to>
      <xdr:col>0</xdr:col>
      <xdr:colOff>266700</xdr:colOff>
      <xdr:row>95</xdr:row>
      <xdr:rowOff>76200</xdr:rowOff>
    </xdr:to>
    <xdr:pic>
      <xdr:nvPicPr>
        <xdr:cNvPr id="81" name="Resim 80" descr="Türk Telekomünikasyon A.Ş. Şirket Logosu">
          <a:hlinkClick xmlns:r="http://schemas.openxmlformats.org/officeDocument/2006/relationships" r:id="rId37"/>
          <a:extLst>
            <a:ext uri="{FF2B5EF4-FFF2-40B4-BE49-F238E27FC236}">
              <a16:creationId xmlns:a16="http://schemas.microsoft.com/office/drawing/2014/main" id="{05C3C9D9-42AA-836F-2FC6-CAD8CCDD4B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807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99</xdr:row>
      <xdr:rowOff>0</xdr:rowOff>
    </xdr:from>
    <xdr:to>
      <xdr:col>0</xdr:col>
      <xdr:colOff>266700</xdr:colOff>
      <xdr:row>100</xdr:row>
      <xdr:rowOff>76200</xdr:rowOff>
    </xdr:to>
    <xdr:pic>
      <xdr:nvPicPr>
        <xdr:cNvPr id="82" name="Resim 81" descr="Agesa Hayat ve Emeklilik A.Ş. Şirket Logosu">
          <a:hlinkClick xmlns:r="http://schemas.openxmlformats.org/officeDocument/2006/relationships" r:id="rId39"/>
          <a:extLst>
            <a:ext uri="{FF2B5EF4-FFF2-40B4-BE49-F238E27FC236}">
              <a16:creationId xmlns:a16="http://schemas.microsoft.com/office/drawing/2014/main" id="{2E91B2D1-6FCD-B55A-A9E3-127A7927F2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03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104</xdr:row>
      <xdr:rowOff>0</xdr:rowOff>
    </xdr:from>
    <xdr:to>
      <xdr:col>0</xdr:col>
      <xdr:colOff>266700</xdr:colOff>
      <xdr:row>105</xdr:row>
      <xdr:rowOff>76200</xdr:rowOff>
    </xdr:to>
    <xdr:pic>
      <xdr:nvPicPr>
        <xdr:cNvPr id="83" name="Resim 82" descr="Türkiye Garanti Bankası A.Ş. Şirket Logosu">
          <a:hlinkClick xmlns:r="http://schemas.openxmlformats.org/officeDocument/2006/relationships" r:id="rId41"/>
          <a:extLst>
            <a:ext uri="{FF2B5EF4-FFF2-40B4-BE49-F238E27FC236}">
              <a16:creationId xmlns:a16="http://schemas.microsoft.com/office/drawing/2014/main" id="{08500887-63AE-9D76-81F8-18BEA50E8A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998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109</xdr:row>
      <xdr:rowOff>0</xdr:rowOff>
    </xdr:from>
    <xdr:to>
      <xdr:col>0</xdr:col>
      <xdr:colOff>266700</xdr:colOff>
      <xdr:row>110</xdr:row>
      <xdr:rowOff>76200</xdr:rowOff>
    </xdr:to>
    <xdr:pic>
      <xdr:nvPicPr>
        <xdr:cNvPr id="84" name="Resim 83" descr="Türkiye Vakıflar Bankası T.A.O. Şirket Logosu">
          <a:hlinkClick xmlns:r="http://schemas.openxmlformats.org/officeDocument/2006/relationships" r:id="rId43"/>
          <a:extLst>
            <a:ext uri="{FF2B5EF4-FFF2-40B4-BE49-F238E27FC236}">
              <a16:creationId xmlns:a16="http://schemas.microsoft.com/office/drawing/2014/main" id="{BA2589AF-F352-977D-5BE8-F0F5CBB3D7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093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114</xdr:row>
      <xdr:rowOff>0</xdr:rowOff>
    </xdr:from>
    <xdr:to>
      <xdr:col>0</xdr:col>
      <xdr:colOff>266700</xdr:colOff>
      <xdr:row>115</xdr:row>
      <xdr:rowOff>76200</xdr:rowOff>
    </xdr:to>
    <xdr:pic>
      <xdr:nvPicPr>
        <xdr:cNvPr id="85" name="Resim 84" descr="Enka İnşaat ve Sanayi A.Ş. Şirket Logosu">
          <a:hlinkClick xmlns:r="http://schemas.openxmlformats.org/officeDocument/2006/relationships" r:id="rId45"/>
          <a:extLst>
            <a:ext uri="{FF2B5EF4-FFF2-40B4-BE49-F238E27FC236}">
              <a16:creationId xmlns:a16="http://schemas.microsoft.com/office/drawing/2014/main" id="{F04D06C2-4E14-AA9E-9427-F11C698A4B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188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119</xdr:row>
      <xdr:rowOff>0</xdr:rowOff>
    </xdr:from>
    <xdr:to>
      <xdr:col>0</xdr:col>
      <xdr:colOff>266700</xdr:colOff>
      <xdr:row>120</xdr:row>
      <xdr:rowOff>76200</xdr:rowOff>
    </xdr:to>
    <xdr:pic>
      <xdr:nvPicPr>
        <xdr:cNvPr id="86" name="Resim 85" descr="Emlak Konut Gayrimenkul Yatırım Ortaklığı A.Ş. Şirket Logosu">
          <a:hlinkClick xmlns:r="http://schemas.openxmlformats.org/officeDocument/2006/relationships" r:id="rId47"/>
          <a:extLst>
            <a:ext uri="{FF2B5EF4-FFF2-40B4-BE49-F238E27FC236}">
              <a16:creationId xmlns:a16="http://schemas.microsoft.com/office/drawing/2014/main" id="{2FFE75DB-9CBC-ADB1-0106-E9F60ABE9C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284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124</xdr:row>
      <xdr:rowOff>0</xdr:rowOff>
    </xdr:from>
    <xdr:to>
      <xdr:col>0</xdr:col>
      <xdr:colOff>266700</xdr:colOff>
      <xdr:row>125</xdr:row>
      <xdr:rowOff>76200</xdr:rowOff>
    </xdr:to>
    <xdr:pic>
      <xdr:nvPicPr>
        <xdr:cNvPr id="87" name="Resim 86" descr="Hacı Ömer Sabancı Holding A.Ş. Şirket Logosu">
          <a:hlinkClick xmlns:r="http://schemas.openxmlformats.org/officeDocument/2006/relationships" r:id="rId49"/>
          <a:extLst>
            <a:ext uri="{FF2B5EF4-FFF2-40B4-BE49-F238E27FC236}">
              <a16:creationId xmlns:a16="http://schemas.microsoft.com/office/drawing/2014/main" id="{3BEE176E-5928-728B-2CF0-BEBC46EA23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379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129</xdr:row>
      <xdr:rowOff>0</xdr:rowOff>
    </xdr:from>
    <xdr:to>
      <xdr:col>0</xdr:col>
      <xdr:colOff>266700</xdr:colOff>
      <xdr:row>130</xdr:row>
      <xdr:rowOff>76200</xdr:rowOff>
    </xdr:to>
    <xdr:pic>
      <xdr:nvPicPr>
        <xdr:cNvPr id="88" name="Resim 87" descr="Kervan Gıda Sanayi ve Ticaret A.Ş. Şirket Logosu">
          <a:hlinkClick xmlns:r="http://schemas.openxmlformats.org/officeDocument/2006/relationships" r:id="rId51"/>
          <a:extLst>
            <a:ext uri="{FF2B5EF4-FFF2-40B4-BE49-F238E27FC236}">
              <a16:creationId xmlns:a16="http://schemas.microsoft.com/office/drawing/2014/main" id="{E33E0475-FB61-3A68-04BE-44FACD653B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474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134</xdr:row>
      <xdr:rowOff>0</xdr:rowOff>
    </xdr:from>
    <xdr:to>
      <xdr:col>0</xdr:col>
      <xdr:colOff>266700</xdr:colOff>
      <xdr:row>135</xdr:row>
      <xdr:rowOff>76200</xdr:rowOff>
    </xdr:to>
    <xdr:pic>
      <xdr:nvPicPr>
        <xdr:cNvPr id="89" name="Resim 88" descr="Dyo Boya Fabrikaları Sanayi ve Ticaret A.Ş. Şirket Logosu">
          <a:hlinkClick xmlns:r="http://schemas.openxmlformats.org/officeDocument/2006/relationships" r:id="rId53"/>
          <a:extLst>
            <a:ext uri="{FF2B5EF4-FFF2-40B4-BE49-F238E27FC236}">
              <a16:creationId xmlns:a16="http://schemas.microsoft.com/office/drawing/2014/main" id="{63249CAF-A817-9E91-FD4E-040B97AFA8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569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266700</xdr:colOff>
      <xdr:row>140</xdr:row>
      <xdr:rowOff>76200</xdr:rowOff>
    </xdr:to>
    <xdr:pic>
      <xdr:nvPicPr>
        <xdr:cNvPr id="90" name="Resim 89" descr="Türk Hava Yolları A.O. Şirket Logosu">
          <a:hlinkClick xmlns:r="http://schemas.openxmlformats.org/officeDocument/2006/relationships" r:id="rId55"/>
          <a:extLst>
            <a:ext uri="{FF2B5EF4-FFF2-40B4-BE49-F238E27FC236}">
              <a16:creationId xmlns:a16="http://schemas.microsoft.com/office/drawing/2014/main" id="{D70DA4B5-BDDC-840C-90AD-AB93CA490E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6650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144</xdr:row>
      <xdr:rowOff>0</xdr:rowOff>
    </xdr:from>
    <xdr:to>
      <xdr:col>0</xdr:col>
      <xdr:colOff>266700</xdr:colOff>
      <xdr:row>145</xdr:row>
      <xdr:rowOff>76200</xdr:rowOff>
    </xdr:to>
    <xdr:pic>
      <xdr:nvPicPr>
        <xdr:cNvPr id="91" name="Resim 90" descr="Doğanlar Mobilya Grubu İmalat Sanayi ve Ticaret A.Ş. Şirket Logosu">
          <a:hlinkClick xmlns:r="http://schemas.openxmlformats.org/officeDocument/2006/relationships" r:id="rId57"/>
          <a:extLst>
            <a:ext uri="{FF2B5EF4-FFF2-40B4-BE49-F238E27FC236}">
              <a16:creationId xmlns:a16="http://schemas.microsoft.com/office/drawing/2014/main" id="{D100C380-D1F7-DA43-A25A-4399803F8D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7603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149</xdr:row>
      <xdr:rowOff>0</xdr:rowOff>
    </xdr:from>
    <xdr:to>
      <xdr:col>0</xdr:col>
      <xdr:colOff>266700</xdr:colOff>
      <xdr:row>150</xdr:row>
      <xdr:rowOff>76200</xdr:rowOff>
    </xdr:to>
    <xdr:pic>
      <xdr:nvPicPr>
        <xdr:cNvPr id="92" name="Resim 91" descr="Kardemir Karabük Demir Çelik Sanayi ve Ticaret A.Ş. Şirket Logosu">
          <a:hlinkClick xmlns:r="http://schemas.openxmlformats.org/officeDocument/2006/relationships" r:id="rId59"/>
          <a:extLst>
            <a:ext uri="{FF2B5EF4-FFF2-40B4-BE49-F238E27FC236}">
              <a16:creationId xmlns:a16="http://schemas.microsoft.com/office/drawing/2014/main" id="{C8F7C4A5-5F00-94DB-CB6A-5CBD8C0E55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559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154</xdr:row>
      <xdr:rowOff>0</xdr:rowOff>
    </xdr:from>
    <xdr:to>
      <xdr:col>0</xdr:col>
      <xdr:colOff>266700</xdr:colOff>
      <xdr:row>155</xdr:row>
      <xdr:rowOff>76200</xdr:rowOff>
    </xdr:to>
    <xdr:pic>
      <xdr:nvPicPr>
        <xdr:cNvPr id="93" name="Resim 92" descr="Aselsan Elektronik Sanayi ve Ticaret A.Ş. Şirket Logosu">
          <a:hlinkClick xmlns:r="http://schemas.openxmlformats.org/officeDocument/2006/relationships" r:id="rId61"/>
          <a:extLst>
            <a:ext uri="{FF2B5EF4-FFF2-40B4-BE49-F238E27FC236}">
              <a16:creationId xmlns:a16="http://schemas.microsoft.com/office/drawing/2014/main" id="{BC222AFD-889D-7A65-470D-99F3B9EE4E7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9508450"/>
          <a:ext cx="266700" cy="2667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4A75568-AF09-49B1-9E17-A214FC841F5F}">
  <we:reference id="wa104379220" version="8.0.0.0" store="tr-TR" storeType="OMEX"/>
  <we:alternateReferences>
    <we:reference id="WA104379220" version="8.0.0.0" store="WA104379220" storeType="OMEX"/>
  </we:alternateReferences>
  <we:properties>
    <we:property name="Office.AutoShowTaskpaneWithDocument" value="true"/>
    <we:property name="stocksChange" value="{}"/>
    <we:property name="stocks" value="{}"/>
    <we:property name="stocksOrder" value="[]"/>
    <we:property name="updateIntervalIndex" value="2"/>
    <we:property name="stocksSources" value="{}"/>
    <we:property name="lastCryptoCompare" value="0"/>
    <we:property name="lastIexCall" value="0"/>
    <we:property name="lastMutualFundsCall" value="0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microsoft.com/office/2006/relationships/wsSortMap" Target="wsSortMa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35"/>
  <sheetViews>
    <sheetView tabSelected="1" topLeftCell="A388" workbookViewId="0">
      <selection activeCell="T540" sqref="T540"/>
    </sheetView>
  </sheetViews>
  <sheetFormatPr defaultRowHeight="15"/>
  <cols>
    <col min="9" max="9" width="19.85546875" bestFit="1" customWidth="1"/>
    <col min="16" max="16" width="19.85546875" bestFit="1" customWidth="1"/>
  </cols>
  <sheetData>
    <row r="1" spans="1:20">
      <c r="A1" t="s">
        <v>0</v>
      </c>
      <c r="B1" t="s">
        <v>1</v>
      </c>
      <c r="C1" t="s">
        <v>935</v>
      </c>
      <c r="D1" t="s">
        <v>740</v>
      </c>
      <c r="E1" t="s">
        <v>741</v>
      </c>
      <c r="F1" t="s">
        <v>446</v>
      </c>
      <c r="G1" t="s">
        <v>447</v>
      </c>
      <c r="H1" t="s">
        <v>2</v>
      </c>
      <c r="I1" t="s">
        <v>448</v>
      </c>
      <c r="J1" t="s">
        <v>742</v>
      </c>
      <c r="K1" t="s">
        <v>743</v>
      </c>
      <c r="L1" t="s">
        <v>3</v>
      </c>
      <c r="M1" t="s">
        <v>446</v>
      </c>
      <c r="N1" t="s">
        <v>447</v>
      </c>
      <c r="O1" t="s">
        <v>2</v>
      </c>
      <c r="P1" t="s">
        <v>448</v>
      </c>
      <c r="Q1" t="s">
        <v>742</v>
      </c>
      <c r="R1" t="s">
        <v>743</v>
      </c>
      <c r="S1" t="s">
        <v>3</v>
      </c>
      <c r="T1" t="s">
        <v>633</v>
      </c>
    </row>
    <row r="2" spans="1:20">
      <c r="A2" t="s">
        <v>450</v>
      </c>
      <c r="B2" t="s">
        <v>2996</v>
      </c>
      <c r="C2" t="s">
        <v>936</v>
      </c>
      <c r="D2" t="s">
        <v>3066</v>
      </c>
      <c r="E2" t="s">
        <v>2996</v>
      </c>
      <c r="F2" t="s">
        <v>1773</v>
      </c>
      <c r="G2" t="s">
        <v>1926</v>
      </c>
      <c r="H2" t="s">
        <v>3700</v>
      </c>
      <c r="I2" t="s">
        <v>3701</v>
      </c>
      <c r="J2" t="s">
        <v>616</v>
      </c>
      <c r="K2" t="s">
        <v>795</v>
      </c>
      <c r="L2" t="s">
        <v>796</v>
      </c>
      <c r="M2" t="s">
        <v>1773</v>
      </c>
      <c r="N2" t="s">
        <v>1926</v>
      </c>
      <c r="O2" t="s">
        <v>3700</v>
      </c>
      <c r="P2" t="s">
        <v>3701</v>
      </c>
      <c r="Q2" t="s">
        <v>616</v>
      </c>
      <c r="R2" t="s">
        <v>795</v>
      </c>
      <c r="S2" t="s">
        <v>796</v>
      </c>
      <c r="T2" t="s">
        <v>616</v>
      </c>
    </row>
    <row r="3" spans="1:20">
      <c r="A3" t="s">
        <v>451</v>
      </c>
      <c r="B3" t="s">
        <v>1977</v>
      </c>
      <c r="C3" t="s">
        <v>937</v>
      </c>
      <c r="D3" t="s">
        <v>1977</v>
      </c>
      <c r="E3" t="s">
        <v>2456</v>
      </c>
      <c r="F3" t="s">
        <v>2451</v>
      </c>
      <c r="G3" t="s">
        <v>1932</v>
      </c>
      <c r="H3" t="s">
        <v>3376</v>
      </c>
      <c r="I3">
        <v>131.965</v>
      </c>
      <c r="J3" t="s">
        <v>1241</v>
      </c>
      <c r="K3" t="s">
        <v>1149</v>
      </c>
      <c r="L3" t="s">
        <v>1195</v>
      </c>
      <c r="M3" t="s">
        <v>2451</v>
      </c>
      <c r="N3" t="s">
        <v>1932</v>
      </c>
      <c r="O3" t="s">
        <v>3376</v>
      </c>
      <c r="P3">
        <v>131.965</v>
      </c>
      <c r="Q3" t="s">
        <v>1241</v>
      </c>
      <c r="R3" t="s">
        <v>1149</v>
      </c>
      <c r="S3" t="s">
        <v>1195</v>
      </c>
      <c r="T3" t="s">
        <v>1241</v>
      </c>
    </row>
    <row r="4" spans="1:20">
      <c r="A4" t="s">
        <v>452</v>
      </c>
      <c r="B4" t="s">
        <v>3042</v>
      </c>
      <c r="C4" t="s">
        <v>937</v>
      </c>
      <c r="D4" t="s">
        <v>3042</v>
      </c>
      <c r="E4" t="s">
        <v>1933</v>
      </c>
      <c r="F4" t="s">
        <v>1934</v>
      </c>
      <c r="G4" t="s">
        <v>2171</v>
      </c>
      <c r="H4" t="s">
        <v>3605</v>
      </c>
      <c r="I4">
        <v>242.113</v>
      </c>
      <c r="J4" t="s">
        <v>1428</v>
      </c>
      <c r="K4" t="s">
        <v>897</v>
      </c>
      <c r="L4" t="s">
        <v>755</v>
      </c>
      <c r="M4" t="s">
        <v>1934</v>
      </c>
      <c r="N4" t="s">
        <v>2171</v>
      </c>
      <c r="O4" t="s">
        <v>3605</v>
      </c>
      <c r="P4">
        <v>242.113</v>
      </c>
      <c r="Q4" t="s">
        <v>1428</v>
      </c>
      <c r="R4" t="s">
        <v>897</v>
      </c>
      <c r="S4" t="s">
        <v>755</v>
      </c>
      <c r="T4" t="s">
        <v>1933</v>
      </c>
    </row>
    <row r="5" spans="1:20">
      <c r="A5" t="s">
        <v>453</v>
      </c>
      <c r="B5" t="s">
        <v>2347</v>
      </c>
      <c r="C5" t="s">
        <v>936</v>
      </c>
      <c r="D5" t="s">
        <v>1140</v>
      </c>
      <c r="E5" t="s">
        <v>2347</v>
      </c>
      <c r="F5" t="s">
        <v>2490</v>
      </c>
      <c r="G5" t="s">
        <v>643</v>
      </c>
      <c r="H5" t="s">
        <v>3702</v>
      </c>
      <c r="I5" t="s">
        <v>3703</v>
      </c>
      <c r="J5" t="s">
        <v>913</v>
      </c>
      <c r="K5" t="s">
        <v>744</v>
      </c>
      <c r="L5" t="s">
        <v>1619</v>
      </c>
      <c r="M5" t="s">
        <v>2490</v>
      </c>
      <c r="N5" t="s">
        <v>643</v>
      </c>
      <c r="O5" t="s">
        <v>3702</v>
      </c>
      <c r="P5" t="s">
        <v>3703</v>
      </c>
      <c r="Q5" t="s">
        <v>913</v>
      </c>
      <c r="R5" t="s">
        <v>744</v>
      </c>
      <c r="S5" t="s">
        <v>1619</v>
      </c>
      <c r="T5" t="s">
        <v>1140</v>
      </c>
    </row>
    <row r="6" spans="1:20">
      <c r="A6" t="s">
        <v>454</v>
      </c>
      <c r="B6" t="s">
        <v>2843</v>
      </c>
      <c r="C6" t="s">
        <v>937</v>
      </c>
      <c r="D6" t="s">
        <v>2396</v>
      </c>
      <c r="E6" t="s">
        <v>2843</v>
      </c>
      <c r="F6" t="s">
        <v>1935</v>
      </c>
      <c r="G6" t="s">
        <v>2843</v>
      </c>
      <c r="H6" t="s">
        <v>3830</v>
      </c>
      <c r="I6" t="s">
        <v>3831</v>
      </c>
      <c r="J6" t="s">
        <v>630</v>
      </c>
      <c r="K6" t="s">
        <v>2404</v>
      </c>
      <c r="L6" t="s">
        <v>3128</v>
      </c>
      <c r="M6" t="s">
        <v>1935</v>
      </c>
      <c r="N6" t="s">
        <v>2843</v>
      </c>
      <c r="O6" t="s">
        <v>3830</v>
      </c>
      <c r="P6" t="s">
        <v>3831</v>
      </c>
      <c r="Q6" t="s">
        <v>630</v>
      </c>
      <c r="R6" t="s">
        <v>2404</v>
      </c>
      <c r="S6" t="s">
        <v>3128</v>
      </c>
      <c r="T6" t="s">
        <v>630</v>
      </c>
    </row>
    <row r="7" spans="1:20">
      <c r="A7" t="s">
        <v>4</v>
      </c>
      <c r="B7" t="s">
        <v>1404</v>
      </c>
      <c r="C7" t="s">
        <v>936</v>
      </c>
      <c r="D7" t="s">
        <v>1404</v>
      </c>
      <c r="E7" t="s">
        <v>3174</v>
      </c>
      <c r="F7" t="s">
        <v>1836</v>
      </c>
      <c r="G7" t="s">
        <v>2172</v>
      </c>
      <c r="H7" t="s">
        <v>3773</v>
      </c>
      <c r="I7" t="s">
        <v>3774</v>
      </c>
      <c r="J7" t="s">
        <v>1404</v>
      </c>
      <c r="K7" t="s">
        <v>804</v>
      </c>
      <c r="L7" t="s">
        <v>804</v>
      </c>
      <c r="M7" t="s">
        <v>1836</v>
      </c>
      <c r="N7" t="s">
        <v>2172</v>
      </c>
      <c r="O7" t="s">
        <v>3773</v>
      </c>
      <c r="P7" t="s">
        <v>3774</v>
      </c>
      <c r="Q7" t="s">
        <v>1404</v>
      </c>
      <c r="R7" t="s">
        <v>804</v>
      </c>
      <c r="S7" t="s">
        <v>804</v>
      </c>
      <c r="T7" t="s">
        <v>1613</v>
      </c>
    </row>
    <row r="8" spans="1:20">
      <c r="A8" t="s">
        <v>455</v>
      </c>
      <c r="B8" t="s">
        <v>1851</v>
      </c>
      <c r="C8" t="s">
        <v>937</v>
      </c>
      <c r="D8" t="s">
        <v>1851</v>
      </c>
      <c r="E8" t="s">
        <v>1062</v>
      </c>
      <c r="F8" t="s">
        <v>2173</v>
      </c>
      <c r="G8" t="s">
        <v>565</v>
      </c>
      <c r="H8" t="s">
        <v>3288</v>
      </c>
      <c r="I8" t="s">
        <v>3289</v>
      </c>
      <c r="J8" t="s">
        <v>943</v>
      </c>
      <c r="K8" t="s">
        <v>790</v>
      </c>
      <c r="L8" t="s">
        <v>931</v>
      </c>
      <c r="M8" t="s">
        <v>2173</v>
      </c>
      <c r="N8" t="s">
        <v>565</v>
      </c>
      <c r="O8" t="s">
        <v>3288</v>
      </c>
      <c r="P8" t="s">
        <v>3289</v>
      </c>
      <c r="Q8" t="s">
        <v>943</v>
      </c>
      <c r="R8" t="s">
        <v>790</v>
      </c>
      <c r="S8" t="s">
        <v>931</v>
      </c>
      <c r="T8" t="s">
        <v>943</v>
      </c>
    </row>
    <row r="9" spans="1:20">
      <c r="A9" t="s">
        <v>456</v>
      </c>
      <c r="B9" t="s">
        <v>1132</v>
      </c>
      <c r="C9" t="s">
        <v>937</v>
      </c>
      <c r="D9" t="s">
        <v>3114</v>
      </c>
      <c r="E9" t="s">
        <v>1132</v>
      </c>
      <c r="F9" t="s">
        <v>1936</v>
      </c>
      <c r="G9" t="s">
        <v>1937</v>
      </c>
      <c r="H9" t="s">
        <v>3522</v>
      </c>
      <c r="I9" t="s">
        <v>3523</v>
      </c>
      <c r="J9" t="s">
        <v>1430</v>
      </c>
      <c r="K9" t="s">
        <v>2285</v>
      </c>
      <c r="L9" t="s">
        <v>2378</v>
      </c>
      <c r="M9" t="s">
        <v>1936</v>
      </c>
      <c r="N9" t="s">
        <v>1937</v>
      </c>
      <c r="O9" t="s">
        <v>3522</v>
      </c>
      <c r="P9" t="s">
        <v>3523</v>
      </c>
      <c r="Q9" t="s">
        <v>1430</v>
      </c>
      <c r="R9" t="s">
        <v>2285</v>
      </c>
      <c r="S9" t="s">
        <v>2378</v>
      </c>
      <c r="T9" t="s">
        <v>1430</v>
      </c>
    </row>
    <row r="10" spans="1:20">
      <c r="A10" t="s">
        <v>457</v>
      </c>
      <c r="B10" t="s">
        <v>3007</v>
      </c>
      <c r="C10" t="s">
        <v>937</v>
      </c>
      <c r="D10" t="s">
        <v>3007</v>
      </c>
      <c r="E10" t="s">
        <v>3008</v>
      </c>
      <c r="F10" t="s">
        <v>3032</v>
      </c>
      <c r="G10" t="s">
        <v>2175</v>
      </c>
      <c r="H10" t="s">
        <v>3832</v>
      </c>
      <c r="I10" t="s">
        <v>3833</v>
      </c>
      <c r="J10" t="s">
        <v>1431</v>
      </c>
      <c r="K10" t="s">
        <v>2469</v>
      </c>
      <c r="L10" t="s">
        <v>775</v>
      </c>
      <c r="M10" t="s">
        <v>3032</v>
      </c>
      <c r="N10" t="s">
        <v>2175</v>
      </c>
      <c r="O10" t="s">
        <v>3832</v>
      </c>
      <c r="P10" t="s">
        <v>3833</v>
      </c>
      <c r="Q10" t="s">
        <v>1431</v>
      </c>
      <c r="R10" t="s">
        <v>2469</v>
      </c>
      <c r="S10" t="s">
        <v>775</v>
      </c>
      <c r="T10" t="s">
        <v>1938</v>
      </c>
    </row>
    <row r="11" spans="1:20">
      <c r="A11" t="s">
        <v>251</v>
      </c>
      <c r="B11" t="s">
        <v>2678</v>
      </c>
      <c r="C11" t="s">
        <v>937</v>
      </c>
      <c r="D11" t="s">
        <v>2678</v>
      </c>
      <c r="E11" t="s">
        <v>2677</v>
      </c>
      <c r="F11" t="s">
        <v>1277</v>
      </c>
      <c r="G11" t="s">
        <v>2678</v>
      </c>
      <c r="H11" t="s">
        <v>3931</v>
      </c>
      <c r="I11" t="s">
        <v>3932</v>
      </c>
      <c r="J11" t="s">
        <v>1413</v>
      </c>
      <c r="K11" t="s">
        <v>2649</v>
      </c>
      <c r="L11" t="s">
        <v>2593</v>
      </c>
      <c r="M11" t="s">
        <v>1277</v>
      </c>
      <c r="N11" t="s">
        <v>2678</v>
      </c>
      <c r="O11" t="s">
        <v>3931</v>
      </c>
      <c r="P11" t="s">
        <v>3932</v>
      </c>
      <c r="Q11" t="s">
        <v>1413</v>
      </c>
      <c r="R11" t="s">
        <v>2649</v>
      </c>
      <c r="S11" t="s">
        <v>2593</v>
      </c>
      <c r="T11" t="s">
        <v>1909</v>
      </c>
    </row>
    <row r="12" spans="1:20">
      <c r="A12" t="s">
        <v>458</v>
      </c>
      <c r="B12" t="s">
        <v>1308</v>
      </c>
      <c r="C12" t="s">
        <v>936</v>
      </c>
      <c r="D12" t="s">
        <v>2116</v>
      </c>
      <c r="E12" t="s">
        <v>1308</v>
      </c>
      <c r="F12" t="s">
        <v>2177</v>
      </c>
      <c r="G12" t="s">
        <v>973</v>
      </c>
      <c r="H12" t="s">
        <v>3432</v>
      </c>
      <c r="I12" t="s">
        <v>3433</v>
      </c>
      <c r="J12" t="s">
        <v>1116</v>
      </c>
      <c r="K12" t="s">
        <v>1611</v>
      </c>
      <c r="L12" t="s">
        <v>2868</v>
      </c>
      <c r="M12" t="s">
        <v>2177</v>
      </c>
      <c r="N12" t="s">
        <v>973</v>
      </c>
      <c r="O12" t="s">
        <v>3432</v>
      </c>
      <c r="P12" t="s">
        <v>3433</v>
      </c>
      <c r="Q12" t="s">
        <v>1116</v>
      </c>
      <c r="R12" t="s">
        <v>1611</v>
      </c>
      <c r="S12" t="s">
        <v>2868</v>
      </c>
      <c r="T12" t="s">
        <v>650</v>
      </c>
    </row>
    <row r="13" spans="1:20">
      <c r="A13" t="s">
        <v>252</v>
      </c>
      <c r="B13" t="s">
        <v>668</v>
      </c>
      <c r="C13" t="s">
        <v>937</v>
      </c>
      <c r="D13" t="s">
        <v>986</v>
      </c>
      <c r="E13" t="s">
        <v>668</v>
      </c>
      <c r="F13" t="s">
        <v>987</v>
      </c>
      <c r="G13" t="s">
        <v>999</v>
      </c>
      <c r="H13" t="s">
        <v>3775</v>
      </c>
      <c r="I13" t="s">
        <v>3776</v>
      </c>
      <c r="J13" t="s">
        <v>1258</v>
      </c>
      <c r="K13" t="s">
        <v>898</v>
      </c>
      <c r="L13" t="s">
        <v>858</v>
      </c>
      <c r="M13" t="s">
        <v>987</v>
      </c>
      <c r="N13" t="s">
        <v>999</v>
      </c>
      <c r="O13" t="s">
        <v>3775</v>
      </c>
      <c r="P13" t="s">
        <v>3776</v>
      </c>
      <c r="Q13" t="s">
        <v>1258</v>
      </c>
      <c r="R13" t="s">
        <v>898</v>
      </c>
      <c r="S13" t="s">
        <v>858</v>
      </c>
      <c r="T13" t="s">
        <v>668</v>
      </c>
    </row>
    <row r="14" spans="1:20">
      <c r="A14" t="s">
        <v>5</v>
      </c>
      <c r="B14" t="s">
        <v>3206</v>
      </c>
      <c r="C14" t="s">
        <v>937</v>
      </c>
      <c r="D14" t="s">
        <v>3206</v>
      </c>
      <c r="E14" t="s">
        <v>3188</v>
      </c>
      <c r="F14" t="s">
        <v>596</v>
      </c>
      <c r="G14" t="s">
        <v>3206</v>
      </c>
      <c r="H14" t="s">
        <v>3834</v>
      </c>
      <c r="I14" t="s">
        <v>3835</v>
      </c>
      <c r="J14" t="s">
        <v>1275</v>
      </c>
      <c r="K14" t="s">
        <v>2875</v>
      </c>
      <c r="L14" t="s">
        <v>3157</v>
      </c>
      <c r="M14" t="s">
        <v>596</v>
      </c>
      <c r="N14" t="s">
        <v>3206</v>
      </c>
      <c r="O14" t="s">
        <v>3834</v>
      </c>
      <c r="P14" t="s">
        <v>3835</v>
      </c>
      <c r="Q14" t="s">
        <v>1275</v>
      </c>
      <c r="R14" t="s">
        <v>2875</v>
      </c>
      <c r="S14" t="s">
        <v>3157</v>
      </c>
      <c r="T14" t="s">
        <v>1275</v>
      </c>
    </row>
    <row r="15" spans="1:20">
      <c r="A15" t="s">
        <v>6</v>
      </c>
      <c r="B15" t="s">
        <v>2945</v>
      </c>
      <c r="C15" t="s">
        <v>936</v>
      </c>
      <c r="D15" t="s">
        <v>2474</v>
      </c>
      <c r="E15" t="s">
        <v>2945</v>
      </c>
      <c r="F15" t="s">
        <v>1494</v>
      </c>
      <c r="G15" t="s">
        <v>2179</v>
      </c>
      <c r="H15" t="s">
        <v>3590</v>
      </c>
      <c r="I15">
        <v>661.29</v>
      </c>
      <c r="J15" t="s">
        <v>1198</v>
      </c>
      <c r="K15" t="s">
        <v>816</v>
      </c>
      <c r="L15" t="s">
        <v>771</v>
      </c>
      <c r="M15" t="s">
        <v>1494</v>
      </c>
      <c r="N15" t="s">
        <v>2179</v>
      </c>
      <c r="O15" t="s">
        <v>3590</v>
      </c>
      <c r="P15">
        <v>661.29</v>
      </c>
      <c r="Q15" t="s">
        <v>1198</v>
      </c>
      <c r="R15" t="s">
        <v>816</v>
      </c>
      <c r="S15" t="s">
        <v>771</v>
      </c>
      <c r="T15" t="s">
        <v>1101</v>
      </c>
    </row>
    <row r="16" spans="1:20">
      <c r="A16" t="s">
        <v>459</v>
      </c>
      <c r="B16" t="s">
        <v>1941</v>
      </c>
      <c r="C16" t="s">
        <v>936</v>
      </c>
      <c r="D16" t="s">
        <v>1941</v>
      </c>
      <c r="F16" t="s">
        <v>1941</v>
      </c>
      <c r="G16" t="s">
        <v>855</v>
      </c>
      <c r="H16" t="s">
        <v>3290</v>
      </c>
      <c r="I16" t="s">
        <v>3291</v>
      </c>
      <c r="J16" t="s">
        <v>1433</v>
      </c>
      <c r="K16" t="s">
        <v>840</v>
      </c>
      <c r="L16" t="s">
        <v>1942</v>
      </c>
      <c r="M16" t="s">
        <v>1941</v>
      </c>
      <c r="N16" t="s">
        <v>855</v>
      </c>
      <c r="O16" t="s">
        <v>3290</v>
      </c>
      <c r="P16" t="s">
        <v>3291</v>
      </c>
      <c r="Q16" t="s">
        <v>1433</v>
      </c>
      <c r="R16" t="s">
        <v>840</v>
      </c>
      <c r="S16" t="s">
        <v>1942</v>
      </c>
      <c r="T16" t="s">
        <v>1943</v>
      </c>
    </row>
    <row r="17" spans="1:20">
      <c r="A17" t="s">
        <v>7</v>
      </c>
      <c r="B17" t="s">
        <v>2484</v>
      </c>
      <c r="C17" t="s">
        <v>936</v>
      </c>
      <c r="D17" t="s">
        <v>2490</v>
      </c>
      <c r="E17" t="s">
        <v>2484</v>
      </c>
      <c r="F17" t="s">
        <v>1894</v>
      </c>
      <c r="G17" t="s">
        <v>913</v>
      </c>
      <c r="H17" t="s">
        <v>3836</v>
      </c>
      <c r="I17" t="s">
        <v>3837</v>
      </c>
      <c r="J17" t="s">
        <v>913</v>
      </c>
      <c r="K17" t="s">
        <v>747</v>
      </c>
      <c r="L17" t="s">
        <v>1828</v>
      </c>
      <c r="M17" t="s">
        <v>1894</v>
      </c>
      <c r="N17" t="s">
        <v>913</v>
      </c>
      <c r="O17" t="s">
        <v>3836</v>
      </c>
      <c r="P17" t="s">
        <v>3837</v>
      </c>
      <c r="Q17" t="s">
        <v>913</v>
      </c>
      <c r="R17" t="s">
        <v>747</v>
      </c>
      <c r="S17" t="s">
        <v>1828</v>
      </c>
      <c r="T17" t="s">
        <v>913</v>
      </c>
    </row>
    <row r="18" spans="1:20">
      <c r="A18" t="s">
        <v>253</v>
      </c>
      <c r="B18" t="s">
        <v>1706</v>
      </c>
      <c r="C18" t="s">
        <v>937</v>
      </c>
      <c r="D18" t="s">
        <v>2617</v>
      </c>
      <c r="E18" t="s">
        <v>1706</v>
      </c>
      <c r="F18" t="s">
        <v>642</v>
      </c>
      <c r="G18" t="s">
        <v>1216</v>
      </c>
      <c r="H18" t="s">
        <v>3933</v>
      </c>
      <c r="I18" t="s">
        <v>3934</v>
      </c>
      <c r="J18" t="s">
        <v>1110</v>
      </c>
      <c r="K18" t="s">
        <v>767</v>
      </c>
      <c r="L18" t="s">
        <v>2212</v>
      </c>
      <c r="M18" t="s">
        <v>642</v>
      </c>
      <c r="N18" t="s">
        <v>1216</v>
      </c>
      <c r="O18" t="s">
        <v>3933</v>
      </c>
      <c r="P18" t="s">
        <v>3934</v>
      </c>
      <c r="Q18" t="s">
        <v>1110</v>
      </c>
      <c r="R18" t="s">
        <v>767</v>
      </c>
      <c r="S18" t="s">
        <v>2212</v>
      </c>
      <c r="T18" t="s">
        <v>1110</v>
      </c>
    </row>
    <row r="19" spans="1:20">
      <c r="A19" t="s">
        <v>460</v>
      </c>
      <c r="B19" t="s">
        <v>2545</v>
      </c>
      <c r="C19" t="s">
        <v>937</v>
      </c>
      <c r="D19" t="s">
        <v>2545</v>
      </c>
      <c r="E19" t="s">
        <v>2290</v>
      </c>
      <c r="F19" t="s">
        <v>613</v>
      </c>
      <c r="G19" t="s">
        <v>909</v>
      </c>
      <c r="H19" t="s">
        <v>3838</v>
      </c>
      <c r="I19" t="s">
        <v>3839</v>
      </c>
      <c r="J19" t="s">
        <v>909</v>
      </c>
      <c r="K19" t="s">
        <v>802</v>
      </c>
      <c r="L19" t="s">
        <v>2480</v>
      </c>
      <c r="M19" t="s">
        <v>613</v>
      </c>
      <c r="N19" t="s">
        <v>909</v>
      </c>
      <c r="O19" t="s">
        <v>3838</v>
      </c>
      <c r="P19" t="s">
        <v>3839</v>
      </c>
      <c r="Q19" t="s">
        <v>909</v>
      </c>
      <c r="R19" t="s">
        <v>802</v>
      </c>
      <c r="S19" t="s">
        <v>2480</v>
      </c>
      <c r="T19" t="s">
        <v>909</v>
      </c>
    </row>
    <row r="20" spans="1:20">
      <c r="A20" t="s">
        <v>461</v>
      </c>
      <c r="B20" t="s">
        <v>2345</v>
      </c>
      <c r="C20" t="s">
        <v>936</v>
      </c>
      <c r="D20" t="s">
        <v>974</v>
      </c>
      <c r="E20" t="s">
        <v>2345</v>
      </c>
      <c r="F20" t="s">
        <v>2182</v>
      </c>
      <c r="G20" t="s">
        <v>2183</v>
      </c>
      <c r="H20" t="s">
        <v>3453</v>
      </c>
      <c r="I20">
        <v>59.869</v>
      </c>
      <c r="J20" t="s">
        <v>1435</v>
      </c>
      <c r="K20" t="s">
        <v>860</v>
      </c>
      <c r="L20" t="s">
        <v>2274</v>
      </c>
      <c r="M20" t="s">
        <v>2182</v>
      </c>
      <c r="N20" t="s">
        <v>2183</v>
      </c>
      <c r="O20" t="s">
        <v>3453</v>
      </c>
      <c r="P20">
        <v>59.869</v>
      </c>
      <c r="Q20" t="s">
        <v>1435</v>
      </c>
      <c r="R20" t="s">
        <v>860</v>
      </c>
      <c r="S20" t="s">
        <v>2274</v>
      </c>
      <c r="T20" t="s">
        <v>1435</v>
      </c>
    </row>
    <row r="21" spans="1:20">
      <c r="A21" t="s">
        <v>8</v>
      </c>
      <c r="B21" t="s">
        <v>994</v>
      </c>
      <c r="C21" t="s">
        <v>936</v>
      </c>
      <c r="D21" t="s">
        <v>2936</v>
      </c>
      <c r="E21" t="s">
        <v>994</v>
      </c>
      <c r="F21" t="s">
        <v>2074</v>
      </c>
      <c r="G21" t="s">
        <v>1141</v>
      </c>
      <c r="H21" t="s">
        <v>3840</v>
      </c>
      <c r="I21" t="s">
        <v>3841</v>
      </c>
      <c r="J21" t="s">
        <v>1414</v>
      </c>
      <c r="K21" t="s">
        <v>1656</v>
      </c>
      <c r="L21" t="s">
        <v>2509</v>
      </c>
      <c r="M21" t="s">
        <v>2074</v>
      </c>
      <c r="N21" t="s">
        <v>1141</v>
      </c>
      <c r="O21" t="s">
        <v>3840</v>
      </c>
      <c r="P21" t="s">
        <v>3841</v>
      </c>
      <c r="Q21" t="s">
        <v>1414</v>
      </c>
      <c r="R21" t="s">
        <v>1656</v>
      </c>
      <c r="S21" t="s">
        <v>2509</v>
      </c>
      <c r="T21" t="s">
        <v>1141</v>
      </c>
    </row>
    <row r="22" spans="1:20">
      <c r="A22" t="s">
        <v>9</v>
      </c>
      <c r="B22" t="s">
        <v>2946</v>
      </c>
      <c r="C22" t="s">
        <v>937</v>
      </c>
      <c r="D22" t="s">
        <v>2946</v>
      </c>
      <c r="E22" t="s">
        <v>1719</v>
      </c>
      <c r="F22" t="s">
        <v>1737</v>
      </c>
      <c r="G22" t="s">
        <v>2185</v>
      </c>
      <c r="H22" t="s">
        <v>3842</v>
      </c>
      <c r="I22" t="s">
        <v>3843</v>
      </c>
      <c r="J22" t="s">
        <v>1328</v>
      </c>
      <c r="K22" t="s">
        <v>744</v>
      </c>
      <c r="L22" t="s">
        <v>823</v>
      </c>
      <c r="M22" t="s">
        <v>1737</v>
      </c>
      <c r="N22" t="s">
        <v>2185</v>
      </c>
      <c r="O22" t="s">
        <v>3842</v>
      </c>
      <c r="P22" t="s">
        <v>3843</v>
      </c>
      <c r="Q22" t="s">
        <v>1328</v>
      </c>
      <c r="R22" t="s">
        <v>744</v>
      </c>
      <c r="S22" t="s">
        <v>823</v>
      </c>
      <c r="T22" t="s">
        <v>1328</v>
      </c>
    </row>
    <row r="23" spans="1:20">
      <c r="A23" t="s">
        <v>462</v>
      </c>
      <c r="B23" t="s">
        <v>1359</v>
      </c>
      <c r="C23" t="s">
        <v>937</v>
      </c>
      <c r="D23" t="s">
        <v>3054</v>
      </c>
      <c r="E23" t="s">
        <v>1359</v>
      </c>
      <c r="F23" t="s">
        <v>1782</v>
      </c>
      <c r="G23" t="s">
        <v>942</v>
      </c>
      <c r="H23" t="s">
        <v>3935</v>
      </c>
      <c r="I23" t="s">
        <v>3936</v>
      </c>
      <c r="J23" t="s">
        <v>942</v>
      </c>
      <c r="K23" t="s">
        <v>755</v>
      </c>
      <c r="L23" t="s">
        <v>2200</v>
      </c>
      <c r="M23" t="s">
        <v>1782</v>
      </c>
      <c r="N23" t="s">
        <v>942</v>
      </c>
      <c r="O23" t="s">
        <v>3935</v>
      </c>
      <c r="P23" t="s">
        <v>3936</v>
      </c>
      <c r="Q23" t="s">
        <v>942</v>
      </c>
      <c r="R23" t="s">
        <v>755</v>
      </c>
      <c r="S23" t="s">
        <v>2200</v>
      </c>
      <c r="T23" t="s">
        <v>942</v>
      </c>
    </row>
    <row r="24" spans="1:20">
      <c r="A24" t="s">
        <v>463</v>
      </c>
      <c r="B24" t="s">
        <v>1109</v>
      </c>
      <c r="C24" t="s">
        <v>937</v>
      </c>
      <c r="D24" t="s">
        <v>1109</v>
      </c>
      <c r="E24" t="s">
        <v>1537</v>
      </c>
      <c r="F24" t="s">
        <v>2066</v>
      </c>
      <c r="G24" t="s">
        <v>1708</v>
      </c>
      <c r="H24" t="s">
        <v>3232</v>
      </c>
      <c r="I24" t="s">
        <v>3233</v>
      </c>
      <c r="J24" t="s">
        <v>1062</v>
      </c>
      <c r="K24" t="s">
        <v>759</v>
      </c>
      <c r="L24" t="s">
        <v>2224</v>
      </c>
      <c r="M24" t="s">
        <v>2066</v>
      </c>
      <c r="N24" t="s">
        <v>1708</v>
      </c>
      <c r="O24" t="s">
        <v>3232</v>
      </c>
      <c r="P24" t="s">
        <v>3233</v>
      </c>
      <c r="Q24" t="s">
        <v>1062</v>
      </c>
      <c r="R24" t="s">
        <v>759</v>
      </c>
      <c r="S24" t="s">
        <v>2224</v>
      </c>
      <c r="T24" t="s">
        <v>586</v>
      </c>
    </row>
    <row r="25" spans="1:20">
      <c r="A25" t="s">
        <v>464</v>
      </c>
      <c r="B25" t="s">
        <v>925</v>
      </c>
      <c r="C25" t="s">
        <v>937</v>
      </c>
      <c r="D25" t="s">
        <v>925</v>
      </c>
      <c r="E25" t="s">
        <v>644</v>
      </c>
      <c r="F25" t="s">
        <v>1945</v>
      </c>
      <c r="G25" t="s">
        <v>2186</v>
      </c>
      <c r="H25" t="s">
        <v>3480</v>
      </c>
      <c r="I25" t="s">
        <v>3481</v>
      </c>
      <c r="J25" t="s">
        <v>1181</v>
      </c>
      <c r="K25" t="s">
        <v>752</v>
      </c>
      <c r="L25" t="s">
        <v>2467</v>
      </c>
      <c r="M25" t="s">
        <v>1945</v>
      </c>
      <c r="N25" t="s">
        <v>2186</v>
      </c>
      <c r="O25" t="s">
        <v>3480</v>
      </c>
      <c r="P25" t="s">
        <v>3481</v>
      </c>
      <c r="Q25" t="s">
        <v>1181</v>
      </c>
      <c r="R25" t="s">
        <v>752</v>
      </c>
      <c r="S25" t="s">
        <v>2467</v>
      </c>
      <c r="T25" t="s">
        <v>1577</v>
      </c>
    </row>
    <row r="26" spans="1:20">
      <c r="A26" t="s">
        <v>10</v>
      </c>
      <c r="B26" t="s">
        <v>1372</v>
      </c>
      <c r="C26" t="s">
        <v>937</v>
      </c>
      <c r="D26" t="s">
        <v>1372</v>
      </c>
      <c r="E26" t="s">
        <v>2847</v>
      </c>
      <c r="F26" t="s">
        <v>1890</v>
      </c>
      <c r="G26" t="s">
        <v>1622</v>
      </c>
      <c r="H26" t="s">
        <v>3937</v>
      </c>
      <c r="I26" t="s">
        <v>3938</v>
      </c>
      <c r="J26" t="s">
        <v>597</v>
      </c>
      <c r="K26" t="s">
        <v>765</v>
      </c>
      <c r="L26" t="s">
        <v>802</v>
      </c>
      <c r="M26" t="s">
        <v>1890</v>
      </c>
      <c r="N26" t="s">
        <v>1622</v>
      </c>
      <c r="O26" t="s">
        <v>3937</v>
      </c>
      <c r="P26" t="s">
        <v>3938</v>
      </c>
      <c r="Q26" t="s">
        <v>597</v>
      </c>
      <c r="R26" t="s">
        <v>765</v>
      </c>
      <c r="S26" t="s">
        <v>802</v>
      </c>
      <c r="T26" t="s">
        <v>597</v>
      </c>
    </row>
    <row r="27" spans="1:20">
      <c r="A27" t="s">
        <v>11</v>
      </c>
      <c r="B27" t="s">
        <v>1129</v>
      </c>
      <c r="C27" t="s">
        <v>936</v>
      </c>
      <c r="D27" t="s">
        <v>686</v>
      </c>
      <c r="E27" t="s">
        <v>1129</v>
      </c>
      <c r="F27" t="s">
        <v>620</v>
      </c>
      <c r="G27" t="s">
        <v>686</v>
      </c>
      <c r="H27" t="s">
        <v>3554</v>
      </c>
      <c r="I27" t="s">
        <v>3555</v>
      </c>
      <c r="J27" t="s">
        <v>946</v>
      </c>
      <c r="K27" t="s">
        <v>824</v>
      </c>
      <c r="L27" t="s">
        <v>1254</v>
      </c>
      <c r="M27" t="s">
        <v>620</v>
      </c>
      <c r="N27" t="s">
        <v>686</v>
      </c>
      <c r="O27" t="s">
        <v>3554</v>
      </c>
      <c r="P27" t="s">
        <v>3555</v>
      </c>
      <c r="Q27" t="s">
        <v>946</v>
      </c>
      <c r="R27" t="s">
        <v>824</v>
      </c>
      <c r="S27" t="s">
        <v>1254</v>
      </c>
      <c r="T27" t="s">
        <v>1623</v>
      </c>
    </row>
    <row r="28" spans="1:20">
      <c r="A28" t="s">
        <v>465</v>
      </c>
      <c r="B28" t="s">
        <v>2187</v>
      </c>
      <c r="C28" t="s">
        <v>936</v>
      </c>
      <c r="D28" t="s">
        <v>2187</v>
      </c>
      <c r="F28" t="s">
        <v>2187</v>
      </c>
      <c r="G28" t="s">
        <v>1946</v>
      </c>
      <c r="H28" t="s">
        <v>3377</v>
      </c>
      <c r="I28">
        <v>88.572999999999993</v>
      </c>
      <c r="J28" t="s">
        <v>947</v>
      </c>
      <c r="K28" t="s">
        <v>1372</v>
      </c>
      <c r="L28" t="s">
        <v>424</v>
      </c>
      <c r="M28" t="s">
        <v>2187</v>
      </c>
      <c r="N28" t="s">
        <v>1946</v>
      </c>
      <c r="O28" t="s">
        <v>3377</v>
      </c>
      <c r="P28">
        <v>88.572999999999993</v>
      </c>
      <c r="Q28" t="s">
        <v>947</v>
      </c>
      <c r="R28" t="s">
        <v>1372</v>
      </c>
      <c r="S28" t="s">
        <v>424</v>
      </c>
      <c r="T28" t="s">
        <v>1946</v>
      </c>
    </row>
    <row r="29" spans="1:20">
      <c r="A29" t="s">
        <v>466</v>
      </c>
      <c r="B29" t="s">
        <v>1947</v>
      </c>
      <c r="C29" t="s">
        <v>937</v>
      </c>
      <c r="D29" t="s">
        <v>2133</v>
      </c>
      <c r="E29" t="s">
        <v>1947</v>
      </c>
      <c r="F29" t="s">
        <v>1895</v>
      </c>
      <c r="G29" t="s">
        <v>2129</v>
      </c>
      <c r="H29" t="s">
        <v>3704</v>
      </c>
      <c r="I29">
        <v>508.40100000000001</v>
      </c>
      <c r="J29" t="s">
        <v>1436</v>
      </c>
      <c r="K29" t="s">
        <v>782</v>
      </c>
      <c r="L29" t="s">
        <v>2713</v>
      </c>
      <c r="M29" t="s">
        <v>1895</v>
      </c>
      <c r="N29" t="s">
        <v>2129</v>
      </c>
      <c r="O29" t="s">
        <v>3704</v>
      </c>
      <c r="P29">
        <v>508.40100000000001</v>
      </c>
      <c r="Q29" t="s">
        <v>1436</v>
      </c>
      <c r="R29" t="s">
        <v>782</v>
      </c>
      <c r="S29" t="s">
        <v>2713</v>
      </c>
      <c r="T29" t="s">
        <v>1132</v>
      </c>
    </row>
    <row r="30" spans="1:20">
      <c r="A30" t="s">
        <v>254</v>
      </c>
      <c r="B30" t="s">
        <v>703</v>
      </c>
      <c r="C30" t="s">
        <v>936</v>
      </c>
      <c r="D30" t="s">
        <v>3122</v>
      </c>
      <c r="E30" t="s">
        <v>703</v>
      </c>
      <c r="F30" t="s">
        <v>2188</v>
      </c>
      <c r="G30" t="s">
        <v>1823</v>
      </c>
      <c r="H30" t="s">
        <v>3844</v>
      </c>
      <c r="I30" t="s">
        <v>3845</v>
      </c>
      <c r="J30" t="s">
        <v>1383</v>
      </c>
      <c r="K30" t="s">
        <v>764</v>
      </c>
      <c r="L30" t="s">
        <v>861</v>
      </c>
      <c r="M30" t="s">
        <v>2188</v>
      </c>
      <c r="N30" t="s">
        <v>1823</v>
      </c>
      <c r="O30" t="s">
        <v>3844</v>
      </c>
      <c r="P30" t="s">
        <v>3845</v>
      </c>
      <c r="Q30" t="s">
        <v>1383</v>
      </c>
      <c r="R30" t="s">
        <v>764</v>
      </c>
      <c r="S30" t="s">
        <v>861</v>
      </c>
      <c r="T30" t="s">
        <v>1880</v>
      </c>
    </row>
    <row r="31" spans="1:20">
      <c r="A31" t="s">
        <v>467</v>
      </c>
      <c r="B31" t="s">
        <v>2226</v>
      </c>
      <c r="C31" t="s">
        <v>937</v>
      </c>
      <c r="D31" t="s">
        <v>2226</v>
      </c>
      <c r="E31" t="s">
        <v>677</v>
      </c>
      <c r="F31" t="s">
        <v>1715</v>
      </c>
      <c r="G31" t="s">
        <v>1338</v>
      </c>
      <c r="H31" t="s">
        <v>3292</v>
      </c>
      <c r="I31" t="s">
        <v>3293</v>
      </c>
      <c r="J31" t="s">
        <v>950</v>
      </c>
      <c r="K31" t="s">
        <v>823</v>
      </c>
      <c r="L31" t="s">
        <v>759</v>
      </c>
      <c r="M31" t="s">
        <v>1715</v>
      </c>
      <c r="N31" t="s">
        <v>1338</v>
      </c>
      <c r="O31" t="s">
        <v>3292</v>
      </c>
      <c r="P31" t="s">
        <v>3293</v>
      </c>
      <c r="Q31" t="s">
        <v>950</v>
      </c>
      <c r="R31" t="s">
        <v>823</v>
      </c>
      <c r="S31" t="s">
        <v>759</v>
      </c>
      <c r="T31" t="s">
        <v>950</v>
      </c>
    </row>
    <row r="32" spans="1:20">
      <c r="A32" t="s">
        <v>468</v>
      </c>
      <c r="B32" t="s">
        <v>546</v>
      </c>
      <c r="C32" t="s">
        <v>937</v>
      </c>
      <c r="D32" t="s">
        <v>546</v>
      </c>
      <c r="E32" t="s">
        <v>2277</v>
      </c>
      <c r="F32" t="s">
        <v>1948</v>
      </c>
      <c r="G32" t="s">
        <v>2297</v>
      </c>
      <c r="H32" t="s">
        <v>3470</v>
      </c>
      <c r="I32">
        <v>922.923</v>
      </c>
      <c r="J32" t="s">
        <v>1438</v>
      </c>
      <c r="K32" t="s">
        <v>757</v>
      </c>
      <c r="L32" t="s">
        <v>2667</v>
      </c>
      <c r="M32" t="s">
        <v>1948</v>
      </c>
      <c r="N32" t="s">
        <v>2297</v>
      </c>
      <c r="O32" t="s">
        <v>3470</v>
      </c>
      <c r="P32">
        <v>922.923</v>
      </c>
      <c r="Q32" t="s">
        <v>1438</v>
      </c>
      <c r="R32" t="s">
        <v>757</v>
      </c>
      <c r="S32" t="s">
        <v>2667</v>
      </c>
      <c r="T32" t="s">
        <v>1642</v>
      </c>
    </row>
    <row r="33" spans="1:20">
      <c r="A33" t="s">
        <v>469</v>
      </c>
      <c r="B33" t="s">
        <v>970</v>
      </c>
      <c r="C33" t="s">
        <v>937</v>
      </c>
      <c r="D33" t="s">
        <v>2771</v>
      </c>
      <c r="E33" t="s">
        <v>970</v>
      </c>
      <c r="F33" t="s">
        <v>1217</v>
      </c>
      <c r="G33" t="s">
        <v>2406</v>
      </c>
      <c r="H33" t="s">
        <v>3939</v>
      </c>
      <c r="I33" t="s">
        <v>3940</v>
      </c>
      <c r="J33" t="s">
        <v>1294</v>
      </c>
      <c r="K33" t="s">
        <v>801</v>
      </c>
      <c r="L33" t="s">
        <v>1237</v>
      </c>
      <c r="M33" t="s">
        <v>1217</v>
      </c>
      <c r="N33" t="s">
        <v>2406</v>
      </c>
      <c r="O33" t="s">
        <v>3939</v>
      </c>
      <c r="P33" t="s">
        <v>3940</v>
      </c>
      <c r="Q33" t="s">
        <v>1294</v>
      </c>
      <c r="R33" t="s">
        <v>801</v>
      </c>
      <c r="S33" t="s">
        <v>1237</v>
      </c>
      <c r="T33" t="s">
        <v>1294</v>
      </c>
    </row>
    <row r="34" spans="1:20">
      <c r="A34" t="s">
        <v>1949</v>
      </c>
      <c r="B34" t="s">
        <v>1950</v>
      </c>
      <c r="C34" t="s">
        <v>938</v>
      </c>
      <c r="D34" t="s">
        <v>1950</v>
      </c>
      <c r="F34" t="s">
        <v>1950</v>
      </c>
      <c r="G34" t="s">
        <v>1950</v>
      </c>
      <c r="H34" t="s">
        <v>3941</v>
      </c>
      <c r="I34">
        <v>299.68799999999999</v>
      </c>
      <c r="J34" t="s">
        <v>1951</v>
      </c>
      <c r="K34" t="s">
        <v>594</v>
      </c>
      <c r="L34" t="s">
        <v>1952</v>
      </c>
      <c r="M34" t="s">
        <v>1950</v>
      </c>
      <c r="N34" t="s">
        <v>1950</v>
      </c>
      <c r="O34" t="s">
        <v>3941</v>
      </c>
      <c r="P34">
        <v>299.68799999999999</v>
      </c>
      <c r="Q34" t="s">
        <v>1951</v>
      </c>
      <c r="R34" t="s">
        <v>594</v>
      </c>
      <c r="S34" t="s">
        <v>1952</v>
      </c>
      <c r="T34" t="s">
        <v>1950</v>
      </c>
    </row>
    <row r="35" spans="1:20">
      <c r="A35" t="s">
        <v>470</v>
      </c>
      <c r="B35" t="s">
        <v>2119</v>
      </c>
      <c r="C35" t="s">
        <v>936</v>
      </c>
      <c r="D35" t="s">
        <v>2119</v>
      </c>
      <c r="E35" t="s">
        <v>2535</v>
      </c>
      <c r="F35" t="s">
        <v>2437</v>
      </c>
      <c r="G35" t="s">
        <v>618</v>
      </c>
      <c r="H35" t="s">
        <v>3410</v>
      </c>
      <c r="I35" t="s">
        <v>3411</v>
      </c>
      <c r="J35" t="s">
        <v>877</v>
      </c>
      <c r="K35" t="s">
        <v>745</v>
      </c>
      <c r="L35" t="s">
        <v>1190</v>
      </c>
      <c r="M35" t="s">
        <v>2437</v>
      </c>
      <c r="N35" t="s">
        <v>618</v>
      </c>
      <c r="O35" t="s">
        <v>3410</v>
      </c>
      <c r="P35" t="s">
        <v>3411</v>
      </c>
      <c r="Q35" t="s">
        <v>877</v>
      </c>
      <c r="R35" t="s">
        <v>745</v>
      </c>
      <c r="S35" t="s">
        <v>1190</v>
      </c>
      <c r="T35" t="s">
        <v>618</v>
      </c>
    </row>
    <row r="36" spans="1:20">
      <c r="A36" t="s">
        <v>471</v>
      </c>
      <c r="B36" t="s">
        <v>2529</v>
      </c>
      <c r="C36" t="s">
        <v>936</v>
      </c>
      <c r="D36" t="s">
        <v>2446</v>
      </c>
      <c r="E36" t="s">
        <v>2529</v>
      </c>
      <c r="F36" t="s">
        <v>1430</v>
      </c>
      <c r="G36" t="s">
        <v>1953</v>
      </c>
      <c r="H36" t="s">
        <v>4099</v>
      </c>
      <c r="I36" t="s">
        <v>4078</v>
      </c>
      <c r="J36" t="s">
        <v>739</v>
      </c>
      <c r="K36" t="s">
        <v>1884</v>
      </c>
      <c r="L36" t="s">
        <v>2283</v>
      </c>
      <c r="M36" t="s">
        <v>1430</v>
      </c>
      <c r="N36" t="s">
        <v>1953</v>
      </c>
      <c r="O36" t="s">
        <v>4099</v>
      </c>
      <c r="P36" t="s">
        <v>4078</v>
      </c>
      <c r="Q36" t="s">
        <v>739</v>
      </c>
      <c r="R36" t="s">
        <v>1884</v>
      </c>
      <c r="S36" t="s">
        <v>2283</v>
      </c>
      <c r="T36" t="s">
        <v>739</v>
      </c>
    </row>
    <row r="37" spans="1:20">
      <c r="A37" t="s">
        <v>472</v>
      </c>
      <c r="B37" t="s">
        <v>2693</v>
      </c>
      <c r="C37" t="s">
        <v>936</v>
      </c>
      <c r="D37" t="s">
        <v>3070</v>
      </c>
      <c r="E37" t="s">
        <v>2693</v>
      </c>
      <c r="F37" t="s">
        <v>1777</v>
      </c>
      <c r="G37" t="s">
        <v>1730</v>
      </c>
      <c r="H37" t="s">
        <v>3942</v>
      </c>
      <c r="I37" t="s">
        <v>3943</v>
      </c>
      <c r="J37" t="s">
        <v>1267</v>
      </c>
      <c r="K37" t="s">
        <v>1168</v>
      </c>
      <c r="L37" t="s">
        <v>1684</v>
      </c>
      <c r="M37" t="s">
        <v>1777</v>
      </c>
      <c r="N37" t="s">
        <v>1730</v>
      </c>
      <c r="O37" t="s">
        <v>3942</v>
      </c>
      <c r="P37" t="s">
        <v>3943</v>
      </c>
      <c r="Q37" t="s">
        <v>1267</v>
      </c>
      <c r="R37" t="s">
        <v>1168</v>
      </c>
      <c r="S37" t="s">
        <v>1684</v>
      </c>
      <c r="T37" t="s">
        <v>1267</v>
      </c>
    </row>
    <row r="38" spans="1:20">
      <c r="A38" t="s">
        <v>473</v>
      </c>
      <c r="B38" t="s">
        <v>3031</v>
      </c>
      <c r="C38" t="s">
        <v>937</v>
      </c>
      <c r="D38" t="s">
        <v>3400</v>
      </c>
      <c r="E38" t="s">
        <v>3022</v>
      </c>
      <c r="F38" t="s">
        <v>1542</v>
      </c>
      <c r="G38" t="s">
        <v>1297</v>
      </c>
      <c r="H38" t="s">
        <v>3234</v>
      </c>
      <c r="I38">
        <v>519.50099999999998</v>
      </c>
      <c r="J38" t="s">
        <v>1439</v>
      </c>
      <c r="K38" t="s">
        <v>781</v>
      </c>
      <c r="L38" t="s">
        <v>2582</v>
      </c>
      <c r="M38" t="s">
        <v>1542</v>
      </c>
      <c r="N38" t="s">
        <v>1297</v>
      </c>
      <c r="O38" t="s">
        <v>3234</v>
      </c>
      <c r="P38">
        <v>519.50099999999998</v>
      </c>
      <c r="Q38" t="s">
        <v>1439</v>
      </c>
      <c r="R38" t="s">
        <v>781</v>
      </c>
      <c r="S38" t="s">
        <v>2582</v>
      </c>
      <c r="T38" t="s">
        <v>1916</v>
      </c>
    </row>
    <row r="39" spans="1:20">
      <c r="A39" t="s">
        <v>474</v>
      </c>
      <c r="B39" t="s">
        <v>2339</v>
      </c>
      <c r="C39" t="s">
        <v>936</v>
      </c>
      <c r="D39" t="s">
        <v>1513</v>
      </c>
      <c r="E39" t="s">
        <v>2339</v>
      </c>
      <c r="F39" t="s">
        <v>1311</v>
      </c>
      <c r="G39" t="s">
        <v>1440</v>
      </c>
      <c r="H39" t="s">
        <v>3705</v>
      </c>
      <c r="I39" t="s">
        <v>3706</v>
      </c>
      <c r="J39" t="s">
        <v>1440</v>
      </c>
      <c r="K39" t="s">
        <v>895</v>
      </c>
      <c r="L39" t="s">
        <v>2470</v>
      </c>
      <c r="M39" t="s">
        <v>1311</v>
      </c>
      <c r="N39" t="s">
        <v>1440</v>
      </c>
      <c r="O39" t="s">
        <v>3705</v>
      </c>
      <c r="P39" t="s">
        <v>3706</v>
      </c>
      <c r="Q39" t="s">
        <v>1440</v>
      </c>
      <c r="R39" t="s">
        <v>895</v>
      </c>
      <c r="S39" t="s">
        <v>2470</v>
      </c>
      <c r="T39" t="s">
        <v>1955</v>
      </c>
    </row>
    <row r="40" spans="1:20">
      <c r="A40" t="s">
        <v>475</v>
      </c>
      <c r="B40" t="s">
        <v>2500</v>
      </c>
      <c r="C40" t="s">
        <v>937</v>
      </c>
      <c r="D40" t="s">
        <v>1947</v>
      </c>
      <c r="E40" t="s">
        <v>2500</v>
      </c>
      <c r="F40" t="s">
        <v>1956</v>
      </c>
      <c r="G40" t="s">
        <v>1957</v>
      </c>
      <c r="H40" t="s">
        <v>3944</v>
      </c>
      <c r="I40" t="s">
        <v>3945</v>
      </c>
      <c r="J40" t="s">
        <v>1374</v>
      </c>
      <c r="K40" t="s">
        <v>2445</v>
      </c>
      <c r="L40" t="s">
        <v>2767</v>
      </c>
      <c r="M40" t="s">
        <v>1956</v>
      </c>
      <c r="N40" t="s">
        <v>1957</v>
      </c>
      <c r="O40" t="s">
        <v>3944</v>
      </c>
      <c r="P40" t="s">
        <v>3945</v>
      </c>
      <c r="Q40" t="s">
        <v>1374</v>
      </c>
      <c r="R40" t="s">
        <v>2445</v>
      </c>
      <c r="S40" t="s">
        <v>2767</v>
      </c>
      <c r="T40" t="s">
        <v>1957</v>
      </c>
    </row>
    <row r="41" spans="1:20">
      <c r="A41" t="s">
        <v>12</v>
      </c>
      <c r="B41" t="s">
        <v>2552</v>
      </c>
      <c r="C41" t="s">
        <v>936</v>
      </c>
      <c r="D41" t="s">
        <v>2737</v>
      </c>
      <c r="E41" t="s">
        <v>2552</v>
      </c>
      <c r="F41" t="s">
        <v>1802</v>
      </c>
      <c r="G41" t="s">
        <v>2189</v>
      </c>
      <c r="H41" t="s">
        <v>3556</v>
      </c>
      <c r="I41" t="s">
        <v>3557</v>
      </c>
      <c r="J41" t="s">
        <v>1148</v>
      </c>
      <c r="K41" t="s">
        <v>764</v>
      </c>
      <c r="L41" t="s">
        <v>748</v>
      </c>
      <c r="M41" t="s">
        <v>1802</v>
      </c>
      <c r="N41" t="s">
        <v>2189</v>
      </c>
      <c r="O41" t="s">
        <v>3556</v>
      </c>
      <c r="P41" t="s">
        <v>3557</v>
      </c>
      <c r="Q41" t="s">
        <v>1148</v>
      </c>
      <c r="R41" t="s">
        <v>764</v>
      </c>
      <c r="S41" t="s">
        <v>748</v>
      </c>
      <c r="T41" t="s">
        <v>945</v>
      </c>
    </row>
    <row r="42" spans="1:20">
      <c r="A42" t="s">
        <v>476</v>
      </c>
      <c r="B42" t="s">
        <v>2681</v>
      </c>
      <c r="C42" t="s">
        <v>937</v>
      </c>
      <c r="D42" t="s">
        <v>2681</v>
      </c>
      <c r="E42" t="s">
        <v>2639</v>
      </c>
      <c r="F42" t="s">
        <v>1843</v>
      </c>
      <c r="G42" t="s">
        <v>2681</v>
      </c>
      <c r="H42" t="s">
        <v>3540</v>
      </c>
      <c r="I42" t="s">
        <v>3541</v>
      </c>
      <c r="J42" t="s">
        <v>1031</v>
      </c>
      <c r="K42" t="s">
        <v>1690</v>
      </c>
      <c r="L42" t="s">
        <v>764</v>
      </c>
      <c r="M42" t="s">
        <v>1843</v>
      </c>
      <c r="N42" t="s">
        <v>2681</v>
      </c>
      <c r="O42" t="s">
        <v>3540</v>
      </c>
      <c r="P42" t="s">
        <v>3541</v>
      </c>
      <c r="Q42" t="s">
        <v>1031</v>
      </c>
      <c r="R42" t="s">
        <v>1690</v>
      </c>
      <c r="S42" t="s">
        <v>764</v>
      </c>
      <c r="T42" t="s">
        <v>1714</v>
      </c>
    </row>
    <row r="43" spans="1:20">
      <c r="A43" t="s">
        <v>13</v>
      </c>
      <c r="B43" t="s">
        <v>3207</v>
      </c>
      <c r="C43" t="s">
        <v>937</v>
      </c>
      <c r="D43" t="s">
        <v>3207</v>
      </c>
      <c r="E43" t="s">
        <v>3125</v>
      </c>
      <c r="F43" t="s">
        <v>2151</v>
      </c>
      <c r="G43" t="s">
        <v>2190</v>
      </c>
      <c r="H43" t="s">
        <v>3777</v>
      </c>
      <c r="I43" t="s">
        <v>3778</v>
      </c>
      <c r="J43" t="s">
        <v>1376</v>
      </c>
      <c r="K43" t="s">
        <v>773</v>
      </c>
      <c r="L43" t="s">
        <v>866</v>
      </c>
      <c r="M43" t="s">
        <v>2151</v>
      </c>
      <c r="N43" t="s">
        <v>2190</v>
      </c>
      <c r="O43" t="s">
        <v>3777</v>
      </c>
      <c r="P43" t="s">
        <v>3778</v>
      </c>
      <c r="Q43" t="s">
        <v>1376</v>
      </c>
      <c r="R43" t="s">
        <v>773</v>
      </c>
      <c r="S43" t="s">
        <v>866</v>
      </c>
      <c r="T43" t="s">
        <v>1910</v>
      </c>
    </row>
    <row r="44" spans="1:20">
      <c r="A44" t="s">
        <v>478</v>
      </c>
      <c r="B44" t="s">
        <v>1122</v>
      </c>
      <c r="C44" t="s">
        <v>937</v>
      </c>
      <c r="D44" t="s">
        <v>1122</v>
      </c>
      <c r="E44" t="s">
        <v>1409</v>
      </c>
      <c r="F44" t="s">
        <v>1795</v>
      </c>
      <c r="G44" t="s">
        <v>1776</v>
      </c>
      <c r="H44" t="s">
        <v>3606</v>
      </c>
      <c r="I44" t="s">
        <v>3607</v>
      </c>
      <c r="J44" t="s">
        <v>1409</v>
      </c>
      <c r="K44" t="s">
        <v>757</v>
      </c>
      <c r="L44" t="s">
        <v>785</v>
      </c>
      <c r="M44" t="s">
        <v>1795</v>
      </c>
      <c r="N44" t="s">
        <v>1776</v>
      </c>
      <c r="O44" t="s">
        <v>3606</v>
      </c>
      <c r="P44" t="s">
        <v>3607</v>
      </c>
      <c r="Q44" t="s">
        <v>1409</v>
      </c>
      <c r="R44" t="s">
        <v>757</v>
      </c>
      <c r="S44" t="s">
        <v>785</v>
      </c>
      <c r="T44" t="s">
        <v>1315</v>
      </c>
    </row>
    <row r="45" spans="1:20">
      <c r="A45" t="s">
        <v>479</v>
      </c>
      <c r="B45" t="s">
        <v>2306</v>
      </c>
      <c r="C45" t="s">
        <v>936</v>
      </c>
      <c r="D45" t="s">
        <v>2554</v>
      </c>
      <c r="E45" t="s">
        <v>2306</v>
      </c>
      <c r="F45" t="s">
        <v>1348</v>
      </c>
      <c r="G45" t="s">
        <v>779</v>
      </c>
      <c r="H45" t="s">
        <v>3235</v>
      </c>
      <c r="I45" t="s">
        <v>3236</v>
      </c>
      <c r="J45" t="s">
        <v>884</v>
      </c>
      <c r="K45" t="s">
        <v>911</v>
      </c>
      <c r="L45" t="s">
        <v>2489</v>
      </c>
      <c r="M45" t="s">
        <v>1348</v>
      </c>
      <c r="N45" t="s">
        <v>779</v>
      </c>
      <c r="O45" t="s">
        <v>3235</v>
      </c>
      <c r="P45" t="s">
        <v>3236</v>
      </c>
      <c r="Q45" t="s">
        <v>884</v>
      </c>
      <c r="R45" t="s">
        <v>911</v>
      </c>
      <c r="S45" t="s">
        <v>2489</v>
      </c>
      <c r="T45" t="s">
        <v>779</v>
      </c>
    </row>
    <row r="46" spans="1:20">
      <c r="A46" t="s">
        <v>481</v>
      </c>
      <c r="B46" t="s">
        <v>2838</v>
      </c>
      <c r="C46" t="s">
        <v>937</v>
      </c>
      <c r="D46" t="s">
        <v>2838</v>
      </c>
      <c r="E46" t="s">
        <v>1125</v>
      </c>
      <c r="F46" t="s">
        <v>2123</v>
      </c>
      <c r="G46" t="s">
        <v>1441</v>
      </c>
      <c r="H46" t="s">
        <v>3707</v>
      </c>
      <c r="I46" t="s">
        <v>3708</v>
      </c>
      <c r="J46" t="s">
        <v>1441</v>
      </c>
      <c r="K46" t="s">
        <v>759</v>
      </c>
      <c r="L46" t="s">
        <v>833</v>
      </c>
      <c r="M46" t="s">
        <v>2123</v>
      </c>
      <c r="N46" t="s">
        <v>1441</v>
      </c>
      <c r="O46" t="s">
        <v>3707</v>
      </c>
      <c r="P46" t="s">
        <v>3708</v>
      </c>
      <c r="Q46" t="s">
        <v>1441</v>
      </c>
      <c r="R46" t="s">
        <v>759</v>
      </c>
      <c r="S46" t="s">
        <v>833</v>
      </c>
      <c r="T46" t="s">
        <v>1105</v>
      </c>
    </row>
    <row r="47" spans="1:20">
      <c r="A47" t="s">
        <v>482</v>
      </c>
      <c r="B47" t="s">
        <v>2804</v>
      </c>
      <c r="C47" t="s">
        <v>937</v>
      </c>
      <c r="D47" t="s">
        <v>1310</v>
      </c>
      <c r="E47" t="s">
        <v>2804</v>
      </c>
      <c r="F47" t="s">
        <v>735</v>
      </c>
      <c r="G47" t="s">
        <v>2193</v>
      </c>
      <c r="H47" t="s">
        <v>3378</v>
      </c>
      <c r="I47" t="s">
        <v>3379</v>
      </c>
      <c r="J47" t="s">
        <v>1056</v>
      </c>
      <c r="K47" t="s">
        <v>765</v>
      </c>
      <c r="L47" t="s">
        <v>832</v>
      </c>
      <c r="M47" t="s">
        <v>735</v>
      </c>
      <c r="N47" t="s">
        <v>2193</v>
      </c>
      <c r="O47" t="s">
        <v>3378</v>
      </c>
      <c r="P47" t="s">
        <v>3379</v>
      </c>
      <c r="Q47" t="s">
        <v>1056</v>
      </c>
      <c r="R47" t="s">
        <v>765</v>
      </c>
      <c r="S47" t="s">
        <v>832</v>
      </c>
      <c r="T47" t="s">
        <v>1410</v>
      </c>
    </row>
    <row r="48" spans="1:20">
      <c r="A48" t="s">
        <v>483</v>
      </c>
      <c r="B48" t="s">
        <v>648</v>
      </c>
      <c r="C48" t="s">
        <v>937</v>
      </c>
      <c r="D48" t="s">
        <v>648</v>
      </c>
      <c r="E48" t="s">
        <v>2708</v>
      </c>
      <c r="F48" t="s">
        <v>1814</v>
      </c>
      <c r="G48" t="s">
        <v>1115</v>
      </c>
      <c r="H48" t="s">
        <v>3846</v>
      </c>
      <c r="I48" t="s">
        <v>3847</v>
      </c>
      <c r="J48" t="s">
        <v>666</v>
      </c>
      <c r="K48" t="s">
        <v>862</v>
      </c>
      <c r="L48" t="s">
        <v>1690</v>
      </c>
      <c r="M48" t="s">
        <v>1814</v>
      </c>
      <c r="N48" t="s">
        <v>1115</v>
      </c>
      <c r="O48" t="s">
        <v>3846</v>
      </c>
      <c r="P48" t="s">
        <v>3847</v>
      </c>
      <c r="Q48" t="s">
        <v>666</v>
      </c>
      <c r="R48" t="s">
        <v>862</v>
      </c>
      <c r="S48" t="s">
        <v>1690</v>
      </c>
      <c r="T48" t="s">
        <v>1725</v>
      </c>
    </row>
    <row r="49" spans="1:20">
      <c r="A49" t="s">
        <v>14</v>
      </c>
      <c r="B49" t="s">
        <v>2914</v>
      </c>
      <c r="C49" t="s">
        <v>937</v>
      </c>
      <c r="D49" t="s">
        <v>2914</v>
      </c>
      <c r="E49" t="s">
        <v>2812</v>
      </c>
      <c r="F49" t="s">
        <v>1054</v>
      </c>
      <c r="G49" t="s">
        <v>2914</v>
      </c>
      <c r="H49" t="s">
        <v>3737</v>
      </c>
      <c r="I49" t="s">
        <v>3738</v>
      </c>
      <c r="J49" t="s">
        <v>841</v>
      </c>
      <c r="K49" t="s">
        <v>777</v>
      </c>
      <c r="L49" t="s">
        <v>2601</v>
      </c>
      <c r="M49" t="s">
        <v>1054</v>
      </c>
      <c r="N49" t="s">
        <v>2914</v>
      </c>
      <c r="O49" t="s">
        <v>3737</v>
      </c>
      <c r="P49" t="s">
        <v>3738</v>
      </c>
      <c r="Q49" t="s">
        <v>841</v>
      </c>
      <c r="R49" t="s">
        <v>777</v>
      </c>
      <c r="S49" t="s">
        <v>2601</v>
      </c>
      <c r="T49" t="s">
        <v>841</v>
      </c>
    </row>
    <row r="50" spans="1:20">
      <c r="A50" t="s">
        <v>484</v>
      </c>
      <c r="B50" t="s">
        <v>726</v>
      </c>
      <c r="C50" t="s">
        <v>937</v>
      </c>
      <c r="D50" t="s">
        <v>726</v>
      </c>
      <c r="E50" t="s">
        <v>3047</v>
      </c>
      <c r="F50" t="s">
        <v>2687</v>
      </c>
      <c r="G50" t="s">
        <v>1958</v>
      </c>
      <c r="H50" t="s">
        <v>3709</v>
      </c>
      <c r="I50" t="s">
        <v>3710</v>
      </c>
      <c r="J50" t="s">
        <v>1342</v>
      </c>
      <c r="K50" t="s">
        <v>745</v>
      </c>
      <c r="L50" t="s">
        <v>1674</v>
      </c>
      <c r="M50" t="s">
        <v>2687</v>
      </c>
      <c r="N50" t="s">
        <v>1958</v>
      </c>
      <c r="O50" t="s">
        <v>3709</v>
      </c>
      <c r="P50" t="s">
        <v>3710</v>
      </c>
      <c r="Q50" t="s">
        <v>1342</v>
      </c>
      <c r="R50" t="s">
        <v>745</v>
      </c>
      <c r="S50" t="s">
        <v>1674</v>
      </c>
      <c r="T50" t="s">
        <v>1293</v>
      </c>
    </row>
    <row r="51" spans="1:20">
      <c r="A51" t="s">
        <v>255</v>
      </c>
      <c r="B51" t="s">
        <v>2703</v>
      </c>
      <c r="C51" t="s">
        <v>937</v>
      </c>
      <c r="D51" t="s">
        <v>2703</v>
      </c>
      <c r="E51" t="s">
        <v>2926</v>
      </c>
      <c r="F51" t="s">
        <v>2194</v>
      </c>
      <c r="G51" t="s">
        <v>1792</v>
      </c>
      <c r="H51" t="s">
        <v>4100</v>
      </c>
      <c r="I51" t="s">
        <v>4079</v>
      </c>
      <c r="J51" t="s">
        <v>1344</v>
      </c>
      <c r="K51" t="s">
        <v>902</v>
      </c>
      <c r="L51" t="s">
        <v>1775</v>
      </c>
      <c r="M51" t="s">
        <v>2194</v>
      </c>
      <c r="N51" t="s">
        <v>1792</v>
      </c>
      <c r="O51" t="s">
        <v>4100</v>
      </c>
      <c r="P51" t="s">
        <v>4079</v>
      </c>
      <c r="Q51" t="s">
        <v>1344</v>
      </c>
      <c r="R51" t="s">
        <v>902</v>
      </c>
      <c r="S51" t="s">
        <v>1775</v>
      </c>
      <c r="T51" t="s">
        <v>1718</v>
      </c>
    </row>
    <row r="52" spans="1:20">
      <c r="A52" t="s">
        <v>485</v>
      </c>
      <c r="B52" t="s">
        <v>2550</v>
      </c>
      <c r="C52" t="s">
        <v>937</v>
      </c>
      <c r="D52" t="s">
        <v>2377</v>
      </c>
      <c r="E52" t="s">
        <v>2550</v>
      </c>
      <c r="F52" t="s">
        <v>2095</v>
      </c>
      <c r="G52" t="s">
        <v>2550</v>
      </c>
      <c r="H52" t="s">
        <v>3946</v>
      </c>
      <c r="I52" t="s">
        <v>3947</v>
      </c>
      <c r="J52" t="s">
        <v>1314</v>
      </c>
      <c r="K52" t="s">
        <v>816</v>
      </c>
      <c r="L52" t="s">
        <v>1246</v>
      </c>
      <c r="M52" t="s">
        <v>2095</v>
      </c>
      <c r="N52" t="s">
        <v>2550</v>
      </c>
      <c r="O52" t="s">
        <v>3946</v>
      </c>
      <c r="P52" t="s">
        <v>3947</v>
      </c>
      <c r="Q52" t="s">
        <v>1314</v>
      </c>
      <c r="R52" t="s">
        <v>816</v>
      </c>
      <c r="S52" t="s">
        <v>1246</v>
      </c>
      <c r="T52" t="s">
        <v>1314</v>
      </c>
    </row>
    <row r="53" spans="1:20">
      <c r="A53" t="s">
        <v>486</v>
      </c>
      <c r="B53" t="s">
        <v>2596</v>
      </c>
      <c r="C53" t="s">
        <v>937</v>
      </c>
      <c r="D53" t="s">
        <v>2596</v>
      </c>
      <c r="E53" t="s">
        <v>3037</v>
      </c>
      <c r="F53" t="s">
        <v>1959</v>
      </c>
      <c r="G53" t="s">
        <v>2596</v>
      </c>
      <c r="H53" t="s">
        <v>3237</v>
      </c>
      <c r="I53">
        <v>87.415000000000006</v>
      </c>
      <c r="J53" t="s">
        <v>1134</v>
      </c>
      <c r="K53" t="s">
        <v>2542</v>
      </c>
      <c r="L53" t="s">
        <v>2560</v>
      </c>
      <c r="M53" t="s">
        <v>1959</v>
      </c>
      <c r="N53" t="s">
        <v>2596</v>
      </c>
      <c r="O53" t="s">
        <v>3237</v>
      </c>
      <c r="P53">
        <v>87.415000000000006</v>
      </c>
      <c r="Q53" t="s">
        <v>1134</v>
      </c>
      <c r="R53" t="s">
        <v>2542</v>
      </c>
      <c r="S53" t="s">
        <v>2560</v>
      </c>
      <c r="T53" t="s">
        <v>1134</v>
      </c>
    </row>
    <row r="54" spans="1:20">
      <c r="A54" t="s">
        <v>487</v>
      </c>
      <c r="B54" t="s">
        <v>667</v>
      </c>
      <c r="C54" t="s">
        <v>937</v>
      </c>
      <c r="D54" t="s">
        <v>667</v>
      </c>
      <c r="E54" t="s">
        <v>3117</v>
      </c>
      <c r="F54" t="s">
        <v>2836</v>
      </c>
      <c r="G54" t="s">
        <v>1719</v>
      </c>
      <c r="H54" t="s">
        <v>3503</v>
      </c>
      <c r="I54">
        <v>940.00199999999995</v>
      </c>
      <c r="J54" t="s">
        <v>1351</v>
      </c>
      <c r="K54" t="s">
        <v>957</v>
      </c>
      <c r="L54" t="s">
        <v>2676</v>
      </c>
      <c r="M54" t="s">
        <v>2836</v>
      </c>
      <c r="N54" t="s">
        <v>1719</v>
      </c>
      <c r="O54" t="s">
        <v>3503</v>
      </c>
      <c r="P54">
        <v>940.00199999999995</v>
      </c>
      <c r="Q54" t="s">
        <v>1351</v>
      </c>
      <c r="R54" t="s">
        <v>957</v>
      </c>
      <c r="S54" t="s">
        <v>2676</v>
      </c>
      <c r="T54" t="s">
        <v>1745</v>
      </c>
    </row>
    <row r="55" spans="1:20">
      <c r="A55" t="s">
        <v>488</v>
      </c>
      <c r="B55" t="s">
        <v>2758</v>
      </c>
      <c r="C55" t="s">
        <v>937</v>
      </c>
      <c r="D55" t="s">
        <v>2757</v>
      </c>
      <c r="E55" t="s">
        <v>2758</v>
      </c>
      <c r="F55" t="s">
        <v>1960</v>
      </c>
      <c r="G55" t="s">
        <v>1890</v>
      </c>
      <c r="H55" t="s">
        <v>3739</v>
      </c>
      <c r="I55">
        <v>851.31700000000001</v>
      </c>
      <c r="J55" t="s">
        <v>631</v>
      </c>
      <c r="K55" t="s">
        <v>1656</v>
      </c>
      <c r="L55" t="s">
        <v>2121</v>
      </c>
      <c r="M55" t="s">
        <v>1960</v>
      </c>
      <c r="N55" t="s">
        <v>1890</v>
      </c>
      <c r="O55" t="s">
        <v>3739</v>
      </c>
      <c r="P55">
        <v>851.31700000000001</v>
      </c>
      <c r="Q55" t="s">
        <v>631</v>
      </c>
      <c r="R55" t="s">
        <v>1656</v>
      </c>
      <c r="S55" t="s">
        <v>2121</v>
      </c>
      <c r="T55" t="s">
        <v>1603</v>
      </c>
    </row>
    <row r="56" spans="1:20">
      <c r="A56" t="s">
        <v>489</v>
      </c>
      <c r="B56" t="s">
        <v>3069</v>
      </c>
      <c r="C56" t="s">
        <v>937</v>
      </c>
      <c r="D56" t="s">
        <v>3069</v>
      </c>
      <c r="E56" t="s">
        <v>3048</v>
      </c>
      <c r="F56" t="s">
        <v>1961</v>
      </c>
      <c r="G56" t="s">
        <v>1784</v>
      </c>
      <c r="H56" t="s">
        <v>3238</v>
      </c>
      <c r="I56">
        <v>42.698999999999998</v>
      </c>
      <c r="J56" t="s">
        <v>1443</v>
      </c>
      <c r="K56" t="s">
        <v>2701</v>
      </c>
      <c r="L56" t="s">
        <v>1252</v>
      </c>
      <c r="M56" t="s">
        <v>1961</v>
      </c>
      <c r="N56" t="s">
        <v>1784</v>
      </c>
      <c r="O56" t="s">
        <v>3238</v>
      </c>
      <c r="P56">
        <v>42.698999999999998</v>
      </c>
      <c r="Q56" t="s">
        <v>1443</v>
      </c>
      <c r="R56" t="s">
        <v>2701</v>
      </c>
      <c r="S56" t="s">
        <v>1252</v>
      </c>
      <c r="T56" t="s">
        <v>1786</v>
      </c>
    </row>
    <row r="57" spans="1:20">
      <c r="A57" t="s">
        <v>490</v>
      </c>
      <c r="B57" t="s">
        <v>1445</v>
      </c>
      <c r="C57" t="s">
        <v>937</v>
      </c>
      <c r="D57" t="s">
        <v>1445</v>
      </c>
      <c r="E57" t="s">
        <v>1444</v>
      </c>
      <c r="F57" t="s">
        <v>2794</v>
      </c>
      <c r="G57" t="s">
        <v>1329</v>
      </c>
      <c r="H57" t="s">
        <v>3848</v>
      </c>
      <c r="I57" t="s">
        <v>3849</v>
      </c>
      <c r="J57" t="s">
        <v>1444</v>
      </c>
      <c r="K57" t="s">
        <v>819</v>
      </c>
      <c r="L57" t="s">
        <v>2268</v>
      </c>
      <c r="M57" t="s">
        <v>2794</v>
      </c>
      <c r="N57" t="s">
        <v>1329</v>
      </c>
      <c r="O57" t="s">
        <v>3848</v>
      </c>
      <c r="P57" t="s">
        <v>3849</v>
      </c>
      <c r="Q57" t="s">
        <v>1444</v>
      </c>
      <c r="R57" t="s">
        <v>819</v>
      </c>
      <c r="S57" t="s">
        <v>2268</v>
      </c>
      <c r="T57" t="s">
        <v>1444</v>
      </c>
    </row>
    <row r="58" spans="1:20">
      <c r="A58" t="s">
        <v>491</v>
      </c>
      <c r="B58" t="s">
        <v>1601</v>
      </c>
      <c r="C58" t="s">
        <v>937</v>
      </c>
      <c r="D58" t="s">
        <v>930</v>
      </c>
      <c r="E58" t="s">
        <v>1601</v>
      </c>
      <c r="F58" t="s">
        <v>857</v>
      </c>
      <c r="G58" t="s">
        <v>1496</v>
      </c>
      <c r="H58" t="s">
        <v>3294</v>
      </c>
      <c r="I58">
        <v>470.02</v>
      </c>
      <c r="J58" t="s">
        <v>560</v>
      </c>
      <c r="K58" t="s">
        <v>802</v>
      </c>
      <c r="L58" t="s">
        <v>1138</v>
      </c>
      <c r="M58" t="s">
        <v>857</v>
      </c>
      <c r="N58" t="s">
        <v>1496</v>
      </c>
      <c r="O58" t="s">
        <v>3294</v>
      </c>
      <c r="P58">
        <v>470.02</v>
      </c>
      <c r="Q58" t="s">
        <v>560</v>
      </c>
      <c r="R58" t="s">
        <v>802</v>
      </c>
      <c r="S58" t="s">
        <v>1138</v>
      </c>
      <c r="T58" t="s">
        <v>560</v>
      </c>
    </row>
    <row r="59" spans="1:20">
      <c r="A59" t="s">
        <v>492</v>
      </c>
      <c r="B59" t="s">
        <v>2983</v>
      </c>
      <c r="C59" t="s">
        <v>936</v>
      </c>
      <c r="D59" t="s">
        <v>2985</v>
      </c>
      <c r="E59" t="s">
        <v>2983</v>
      </c>
      <c r="F59" t="s">
        <v>1789</v>
      </c>
      <c r="G59" t="s">
        <v>1315</v>
      </c>
      <c r="H59" t="s">
        <v>3640</v>
      </c>
      <c r="I59">
        <v>660.11900000000003</v>
      </c>
      <c r="J59" t="s">
        <v>575</v>
      </c>
      <c r="K59" t="s">
        <v>751</v>
      </c>
      <c r="L59" t="s">
        <v>2633</v>
      </c>
      <c r="M59" t="s">
        <v>1789</v>
      </c>
      <c r="N59" t="s">
        <v>1315</v>
      </c>
      <c r="O59" t="s">
        <v>3640</v>
      </c>
      <c r="P59">
        <v>660.11900000000003</v>
      </c>
      <c r="Q59" t="s">
        <v>575</v>
      </c>
      <c r="R59" t="s">
        <v>751</v>
      </c>
      <c r="S59" t="s">
        <v>2633</v>
      </c>
      <c r="T59" t="s">
        <v>575</v>
      </c>
    </row>
    <row r="60" spans="1:20">
      <c r="A60" t="s">
        <v>494</v>
      </c>
      <c r="B60" t="s">
        <v>2803</v>
      </c>
      <c r="C60" t="s">
        <v>937</v>
      </c>
      <c r="D60" t="s">
        <v>715</v>
      </c>
      <c r="E60" t="s">
        <v>2803</v>
      </c>
      <c r="F60" t="s">
        <v>2141</v>
      </c>
      <c r="G60" t="s">
        <v>1270</v>
      </c>
      <c r="H60" t="s">
        <v>3948</v>
      </c>
      <c r="I60" t="s">
        <v>3949</v>
      </c>
      <c r="J60" t="s">
        <v>715</v>
      </c>
      <c r="K60" t="s">
        <v>753</v>
      </c>
      <c r="L60" t="s">
        <v>803</v>
      </c>
      <c r="M60" t="s">
        <v>2141</v>
      </c>
      <c r="N60" t="s">
        <v>1270</v>
      </c>
      <c r="O60" t="s">
        <v>3948</v>
      </c>
      <c r="P60" t="s">
        <v>3949</v>
      </c>
      <c r="Q60" t="s">
        <v>715</v>
      </c>
      <c r="R60" t="s">
        <v>753</v>
      </c>
      <c r="S60" t="s">
        <v>803</v>
      </c>
      <c r="T60" t="s">
        <v>715</v>
      </c>
    </row>
    <row r="61" spans="1:20">
      <c r="A61" t="s">
        <v>495</v>
      </c>
      <c r="B61" t="s">
        <v>1480</v>
      </c>
      <c r="C61" t="s">
        <v>937</v>
      </c>
      <c r="D61" t="s">
        <v>1480</v>
      </c>
      <c r="E61" t="s">
        <v>1338</v>
      </c>
      <c r="F61" t="s">
        <v>1772</v>
      </c>
      <c r="G61" t="s">
        <v>1675</v>
      </c>
      <c r="H61" t="s">
        <v>3779</v>
      </c>
      <c r="I61" t="s">
        <v>3780</v>
      </c>
      <c r="J61" t="s">
        <v>735</v>
      </c>
      <c r="K61" t="s">
        <v>795</v>
      </c>
      <c r="L61" t="s">
        <v>969</v>
      </c>
      <c r="M61" t="s">
        <v>1772</v>
      </c>
      <c r="N61" t="s">
        <v>1675</v>
      </c>
      <c r="O61" t="s">
        <v>3779</v>
      </c>
      <c r="P61" t="s">
        <v>3780</v>
      </c>
      <c r="Q61" t="s">
        <v>735</v>
      </c>
      <c r="R61" t="s">
        <v>795</v>
      </c>
      <c r="S61" t="s">
        <v>969</v>
      </c>
      <c r="T61" t="s">
        <v>1273</v>
      </c>
    </row>
    <row r="62" spans="1:20">
      <c r="A62" t="s">
        <v>496</v>
      </c>
      <c r="B62" t="s">
        <v>1563</v>
      </c>
      <c r="C62" t="s">
        <v>937</v>
      </c>
      <c r="D62" t="s">
        <v>626</v>
      </c>
      <c r="E62" t="s">
        <v>1563</v>
      </c>
      <c r="F62" t="s">
        <v>674</v>
      </c>
      <c r="G62" t="s">
        <v>887</v>
      </c>
      <c r="H62" t="s">
        <v>3401</v>
      </c>
      <c r="I62">
        <v>794.81600000000003</v>
      </c>
      <c r="J62" t="s">
        <v>1446</v>
      </c>
      <c r="K62" t="s">
        <v>819</v>
      </c>
      <c r="L62" t="s">
        <v>878</v>
      </c>
      <c r="M62" t="s">
        <v>674</v>
      </c>
      <c r="N62" t="s">
        <v>887</v>
      </c>
      <c r="O62" t="s">
        <v>3401</v>
      </c>
      <c r="P62">
        <v>794.81600000000003</v>
      </c>
      <c r="Q62" t="s">
        <v>1446</v>
      </c>
      <c r="R62" t="s">
        <v>819</v>
      </c>
      <c r="S62" t="s">
        <v>878</v>
      </c>
      <c r="T62" t="s">
        <v>1446</v>
      </c>
    </row>
    <row r="63" spans="1:20">
      <c r="A63" t="s">
        <v>497</v>
      </c>
      <c r="B63" t="s">
        <v>1630</v>
      </c>
      <c r="C63" t="s">
        <v>936</v>
      </c>
      <c r="D63" t="s">
        <v>1630</v>
      </c>
      <c r="F63" t="s">
        <v>1630</v>
      </c>
      <c r="G63" t="s">
        <v>1962</v>
      </c>
      <c r="H63" t="s">
        <v>3295</v>
      </c>
      <c r="I63">
        <v>246.02500000000001</v>
      </c>
      <c r="J63" t="s">
        <v>1447</v>
      </c>
      <c r="K63" t="s">
        <v>703</v>
      </c>
      <c r="L63" t="s">
        <v>1963</v>
      </c>
      <c r="M63" t="s">
        <v>1630</v>
      </c>
      <c r="N63" t="s">
        <v>1962</v>
      </c>
      <c r="O63" t="s">
        <v>3295</v>
      </c>
      <c r="P63">
        <v>246.02500000000001</v>
      </c>
      <c r="Q63" t="s">
        <v>1447</v>
      </c>
      <c r="R63" t="s">
        <v>703</v>
      </c>
      <c r="S63" t="s">
        <v>1963</v>
      </c>
      <c r="T63" t="s">
        <v>1964</v>
      </c>
    </row>
    <row r="64" spans="1:20">
      <c r="A64" t="s">
        <v>498</v>
      </c>
      <c r="B64" t="s">
        <v>1184</v>
      </c>
      <c r="C64" t="s">
        <v>936</v>
      </c>
      <c r="D64" t="s">
        <v>1878</v>
      </c>
      <c r="E64" t="s">
        <v>1184</v>
      </c>
      <c r="F64" t="s">
        <v>2351</v>
      </c>
      <c r="G64" t="s">
        <v>1893</v>
      </c>
      <c r="H64" t="s">
        <v>3950</v>
      </c>
      <c r="I64" t="s">
        <v>3951</v>
      </c>
      <c r="J64" t="s">
        <v>1448</v>
      </c>
      <c r="K64" t="s">
        <v>1213</v>
      </c>
      <c r="L64" t="s">
        <v>1243</v>
      </c>
      <c r="M64" t="s">
        <v>2351</v>
      </c>
      <c r="N64" t="s">
        <v>1893</v>
      </c>
      <c r="O64" t="s">
        <v>3950</v>
      </c>
      <c r="P64" t="s">
        <v>3951</v>
      </c>
      <c r="Q64" t="s">
        <v>1448</v>
      </c>
      <c r="R64" t="s">
        <v>1213</v>
      </c>
      <c r="S64" t="s">
        <v>1243</v>
      </c>
      <c r="T64" t="s">
        <v>789</v>
      </c>
    </row>
    <row r="65" spans="1:20">
      <c r="A65" t="s">
        <v>499</v>
      </c>
      <c r="B65" t="s">
        <v>2808</v>
      </c>
      <c r="C65" t="s">
        <v>937</v>
      </c>
      <c r="D65" t="s">
        <v>2808</v>
      </c>
      <c r="E65" t="s">
        <v>2807</v>
      </c>
      <c r="F65" t="s">
        <v>1202</v>
      </c>
      <c r="G65" t="s">
        <v>588</v>
      </c>
      <c r="H65" t="s">
        <v>3296</v>
      </c>
      <c r="I65" t="s">
        <v>3297</v>
      </c>
      <c r="J65" t="s">
        <v>567</v>
      </c>
      <c r="K65" t="s">
        <v>985</v>
      </c>
      <c r="L65" t="s">
        <v>2594</v>
      </c>
      <c r="M65" t="s">
        <v>1202</v>
      </c>
      <c r="N65" t="s">
        <v>588</v>
      </c>
      <c r="O65" t="s">
        <v>3296</v>
      </c>
      <c r="P65" t="s">
        <v>3297</v>
      </c>
      <c r="Q65" t="s">
        <v>567</v>
      </c>
      <c r="R65" t="s">
        <v>985</v>
      </c>
      <c r="S65" t="s">
        <v>2594</v>
      </c>
      <c r="T65" t="s">
        <v>588</v>
      </c>
    </row>
    <row r="66" spans="1:20">
      <c r="A66" t="s">
        <v>500</v>
      </c>
      <c r="B66" t="s">
        <v>2698</v>
      </c>
      <c r="C66" t="s">
        <v>936</v>
      </c>
      <c r="D66" t="s">
        <v>2711</v>
      </c>
      <c r="E66" t="s">
        <v>2698</v>
      </c>
      <c r="F66" t="s">
        <v>1965</v>
      </c>
      <c r="G66" t="s">
        <v>2198</v>
      </c>
      <c r="H66" t="s">
        <v>3524</v>
      </c>
      <c r="I66">
        <v>758.22</v>
      </c>
      <c r="J66" t="s">
        <v>1131</v>
      </c>
      <c r="K66" t="s">
        <v>2372</v>
      </c>
      <c r="L66" t="s">
        <v>853</v>
      </c>
      <c r="M66" t="s">
        <v>1965</v>
      </c>
      <c r="N66" t="s">
        <v>2198</v>
      </c>
      <c r="O66" t="s">
        <v>3524</v>
      </c>
      <c r="P66">
        <v>758.22</v>
      </c>
      <c r="Q66" t="s">
        <v>1131</v>
      </c>
      <c r="R66" t="s">
        <v>2372</v>
      </c>
      <c r="S66" t="s">
        <v>853</v>
      </c>
      <c r="T66" t="s">
        <v>1965</v>
      </c>
    </row>
    <row r="67" spans="1:20">
      <c r="A67" t="s">
        <v>501</v>
      </c>
      <c r="B67" t="s">
        <v>2659</v>
      </c>
      <c r="C67" t="s">
        <v>936</v>
      </c>
      <c r="D67" t="s">
        <v>2440</v>
      </c>
      <c r="E67" t="s">
        <v>2659</v>
      </c>
      <c r="F67" t="s">
        <v>2199</v>
      </c>
      <c r="G67" t="s">
        <v>949</v>
      </c>
      <c r="H67" t="s">
        <v>3781</v>
      </c>
      <c r="I67">
        <v>640.428</v>
      </c>
      <c r="J67" t="s">
        <v>892</v>
      </c>
      <c r="K67" t="s">
        <v>2482</v>
      </c>
      <c r="L67" t="s">
        <v>2590</v>
      </c>
      <c r="M67" t="s">
        <v>2199</v>
      </c>
      <c r="N67" t="s">
        <v>949</v>
      </c>
      <c r="O67" t="s">
        <v>3781</v>
      </c>
      <c r="P67">
        <v>640.428</v>
      </c>
      <c r="Q67" t="s">
        <v>892</v>
      </c>
      <c r="R67" t="s">
        <v>2482</v>
      </c>
      <c r="S67" t="s">
        <v>2590</v>
      </c>
      <c r="T67" t="s">
        <v>892</v>
      </c>
    </row>
    <row r="68" spans="1:20">
      <c r="A68" t="s">
        <v>502</v>
      </c>
      <c r="B68" t="s">
        <v>1063</v>
      </c>
      <c r="C68" t="s">
        <v>936</v>
      </c>
      <c r="D68" t="s">
        <v>1063</v>
      </c>
      <c r="E68" t="s">
        <v>1905</v>
      </c>
      <c r="F68" t="s">
        <v>681</v>
      </c>
      <c r="G68" t="s">
        <v>1025</v>
      </c>
      <c r="H68" t="s">
        <v>3471</v>
      </c>
      <c r="I68">
        <v>940.28899999999999</v>
      </c>
      <c r="J68" t="s">
        <v>603</v>
      </c>
      <c r="K68" t="s">
        <v>846</v>
      </c>
      <c r="L68" t="s">
        <v>2197</v>
      </c>
      <c r="M68" t="s">
        <v>681</v>
      </c>
      <c r="N68" t="s">
        <v>1025</v>
      </c>
      <c r="O68" t="s">
        <v>3471</v>
      </c>
      <c r="P68">
        <v>940.28899999999999</v>
      </c>
      <c r="Q68" t="s">
        <v>603</v>
      </c>
      <c r="R68" t="s">
        <v>846</v>
      </c>
      <c r="S68" t="s">
        <v>2197</v>
      </c>
      <c r="T68" t="s">
        <v>693</v>
      </c>
    </row>
    <row r="69" spans="1:20">
      <c r="A69" t="s">
        <v>503</v>
      </c>
      <c r="B69" t="s">
        <v>2401</v>
      </c>
      <c r="C69" t="s">
        <v>937</v>
      </c>
      <c r="D69" t="s">
        <v>2401</v>
      </c>
      <c r="E69" t="s">
        <v>2675</v>
      </c>
      <c r="F69" t="s">
        <v>1804</v>
      </c>
      <c r="G69" t="s">
        <v>1715</v>
      </c>
      <c r="H69" t="s">
        <v>3641</v>
      </c>
      <c r="I69">
        <v>180.63</v>
      </c>
      <c r="J69" t="s">
        <v>1307</v>
      </c>
      <c r="K69" t="s">
        <v>776</v>
      </c>
      <c r="L69" t="s">
        <v>1875</v>
      </c>
      <c r="M69" t="s">
        <v>1804</v>
      </c>
      <c r="N69" t="s">
        <v>1715</v>
      </c>
      <c r="O69" t="s">
        <v>3641</v>
      </c>
      <c r="P69">
        <v>180.63</v>
      </c>
      <c r="Q69" t="s">
        <v>1307</v>
      </c>
      <c r="R69" t="s">
        <v>776</v>
      </c>
      <c r="S69" t="s">
        <v>1875</v>
      </c>
      <c r="T69" t="s">
        <v>1307</v>
      </c>
    </row>
    <row r="70" spans="1:20">
      <c r="A70" t="s">
        <v>504</v>
      </c>
      <c r="B70" t="s">
        <v>3081</v>
      </c>
      <c r="C70" t="s">
        <v>936</v>
      </c>
      <c r="D70" t="s">
        <v>3081</v>
      </c>
      <c r="E70" t="s">
        <v>2988</v>
      </c>
      <c r="F70" t="s">
        <v>1415</v>
      </c>
      <c r="G70" t="s">
        <v>1545</v>
      </c>
      <c r="H70" t="s">
        <v>3298</v>
      </c>
      <c r="I70">
        <v>290.26299999999998</v>
      </c>
      <c r="J70" t="s">
        <v>1451</v>
      </c>
      <c r="K70" t="s">
        <v>557</v>
      </c>
      <c r="L70" t="s">
        <v>793</v>
      </c>
      <c r="M70" t="s">
        <v>1415</v>
      </c>
      <c r="N70" t="s">
        <v>1545</v>
      </c>
      <c r="O70" t="s">
        <v>3298</v>
      </c>
      <c r="P70">
        <v>290.26299999999998</v>
      </c>
      <c r="Q70" t="s">
        <v>1451</v>
      </c>
      <c r="R70" t="s">
        <v>557</v>
      </c>
      <c r="S70" t="s">
        <v>793</v>
      </c>
      <c r="T70" t="s">
        <v>556</v>
      </c>
    </row>
    <row r="71" spans="1:20">
      <c r="A71" t="s">
        <v>505</v>
      </c>
      <c r="B71" t="s">
        <v>3015</v>
      </c>
      <c r="C71" t="s">
        <v>937</v>
      </c>
      <c r="D71" t="s">
        <v>3030</v>
      </c>
      <c r="E71" t="s">
        <v>3015</v>
      </c>
      <c r="F71" t="s">
        <v>2148</v>
      </c>
      <c r="G71" t="s">
        <v>1251</v>
      </c>
      <c r="H71" t="s">
        <v>3482</v>
      </c>
      <c r="I71" t="s">
        <v>3483</v>
      </c>
      <c r="J71" t="s">
        <v>512</v>
      </c>
      <c r="K71" t="s">
        <v>829</v>
      </c>
      <c r="L71" t="s">
        <v>2384</v>
      </c>
      <c r="M71" t="s">
        <v>2148</v>
      </c>
      <c r="N71" t="s">
        <v>1251</v>
      </c>
      <c r="O71" t="s">
        <v>3482</v>
      </c>
      <c r="P71" t="s">
        <v>3483</v>
      </c>
      <c r="Q71" t="s">
        <v>512</v>
      </c>
      <c r="R71" t="s">
        <v>829</v>
      </c>
      <c r="S71" t="s">
        <v>2384</v>
      </c>
      <c r="T71" t="s">
        <v>1909</v>
      </c>
    </row>
    <row r="72" spans="1:20">
      <c r="A72" t="s">
        <v>506</v>
      </c>
      <c r="B72" t="s">
        <v>2650</v>
      </c>
      <c r="C72" t="s">
        <v>936</v>
      </c>
      <c r="D72" t="s">
        <v>2434</v>
      </c>
      <c r="E72" t="s">
        <v>2650</v>
      </c>
      <c r="F72" t="s">
        <v>707</v>
      </c>
      <c r="G72" t="s">
        <v>1856</v>
      </c>
      <c r="H72" t="s">
        <v>3558</v>
      </c>
      <c r="I72" t="s">
        <v>3559</v>
      </c>
      <c r="J72" t="s">
        <v>1452</v>
      </c>
      <c r="K72" t="s">
        <v>793</v>
      </c>
      <c r="L72" t="s">
        <v>2730</v>
      </c>
      <c r="M72" t="s">
        <v>707</v>
      </c>
      <c r="N72" t="s">
        <v>1856</v>
      </c>
      <c r="O72" t="s">
        <v>3558</v>
      </c>
      <c r="P72" t="s">
        <v>3559</v>
      </c>
      <c r="Q72" t="s">
        <v>1452</v>
      </c>
      <c r="R72" t="s">
        <v>793</v>
      </c>
      <c r="S72" t="s">
        <v>2730</v>
      </c>
      <c r="T72" t="s">
        <v>1274</v>
      </c>
    </row>
    <row r="73" spans="1:20">
      <c r="A73" t="s">
        <v>507</v>
      </c>
      <c r="B73" t="s">
        <v>1703</v>
      </c>
      <c r="C73" t="s">
        <v>937</v>
      </c>
      <c r="D73" t="s">
        <v>1215</v>
      </c>
      <c r="E73" t="s">
        <v>1703</v>
      </c>
      <c r="F73" t="s">
        <v>1891</v>
      </c>
      <c r="G73" t="s">
        <v>1394</v>
      </c>
      <c r="H73" t="s">
        <v>3782</v>
      </c>
      <c r="I73">
        <v>822.88599999999997</v>
      </c>
      <c r="J73" t="s">
        <v>1185</v>
      </c>
      <c r="K73" t="s">
        <v>2641</v>
      </c>
      <c r="L73" t="s">
        <v>2906</v>
      </c>
      <c r="M73" t="s">
        <v>1891</v>
      </c>
      <c r="N73" t="s">
        <v>1394</v>
      </c>
      <c r="O73" t="s">
        <v>3782</v>
      </c>
      <c r="P73">
        <v>822.88599999999997</v>
      </c>
      <c r="Q73" t="s">
        <v>1185</v>
      </c>
      <c r="R73" t="s">
        <v>2641</v>
      </c>
      <c r="S73" t="s">
        <v>2906</v>
      </c>
      <c r="T73" t="s">
        <v>1185</v>
      </c>
    </row>
    <row r="74" spans="1:20">
      <c r="A74" t="s">
        <v>508</v>
      </c>
      <c r="B74" t="s">
        <v>1149</v>
      </c>
      <c r="C74" t="s">
        <v>936</v>
      </c>
      <c r="D74" t="s">
        <v>1150</v>
      </c>
      <c r="E74" t="s">
        <v>1149</v>
      </c>
      <c r="F74" t="s">
        <v>980</v>
      </c>
      <c r="G74" t="s">
        <v>787</v>
      </c>
      <c r="H74" t="s">
        <v>3608</v>
      </c>
      <c r="I74" t="s">
        <v>3609</v>
      </c>
      <c r="J74" t="s">
        <v>1150</v>
      </c>
      <c r="K74" t="s">
        <v>753</v>
      </c>
      <c r="L74" t="s">
        <v>803</v>
      </c>
      <c r="M74" t="s">
        <v>980</v>
      </c>
      <c r="N74" t="s">
        <v>787</v>
      </c>
      <c r="O74" t="s">
        <v>3608</v>
      </c>
      <c r="P74" t="s">
        <v>3609</v>
      </c>
      <c r="Q74" t="s">
        <v>1150</v>
      </c>
      <c r="R74" t="s">
        <v>753</v>
      </c>
      <c r="S74" t="s">
        <v>803</v>
      </c>
      <c r="T74" t="s">
        <v>1150</v>
      </c>
    </row>
    <row r="75" spans="1:20">
      <c r="A75" t="s">
        <v>256</v>
      </c>
      <c r="B75" t="s">
        <v>2166</v>
      </c>
      <c r="C75" t="s">
        <v>937</v>
      </c>
      <c r="D75" t="s">
        <v>2412</v>
      </c>
      <c r="E75" t="s">
        <v>2166</v>
      </c>
      <c r="F75" t="s">
        <v>1359</v>
      </c>
      <c r="G75" t="s">
        <v>2789</v>
      </c>
      <c r="H75" t="s">
        <v>3850</v>
      </c>
      <c r="I75" t="s">
        <v>3851</v>
      </c>
      <c r="J75" t="s">
        <v>825</v>
      </c>
      <c r="K75" t="s">
        <v>878</v>
      </c>
      <c r="L75" t="s">
        <v>782</v>
      </c>
      <c r="M75" t="s">
        <v>1359</v>
      </c>
      <c r="N75" t="s">
        <v>2789</v>
      </c>
      <c r="O75" t="s">
        <v>3850</v>
      </c>
      <c r="P75" t="s">
        <v>3851</v>
      </c>
      <c r="Q75" t="s">
        <v>825</v>
      </c>
      <c r="R75" t="s">
        <v>878</v>
      </c>
      <c r="S75" t="s">
        <v>782</v>
      </c>
      <c r="T75" t="s">
        <v>1624</v>
      </c>
    </row>
    <row r="76" spans="1:20">
      <c r="A76" t="s">
        <v>509</v>
      </c>
      <c r="B76" t="s">
        <v>2363</v>
      </c>
      <c r="C76" t="s">
        <v>936</v>
      </c>
      <c r="D76" t="s">
        <v>2399</v>
      </c>
      <c r="E76" t="s">
        <v>2363</v>
      </c>
      <c r="F76" t="s">
        <v>1098</v>
      </c>
      <c r="G76" t="s">
        <v>1906</v>
      </c>
      <c r="H76" t="s">
        <v>3447</v>
      </c>
      <c r="I76" t="s">
        <v>3448</v>
      </c>
      <c r="J76" t="s">
        <v>971</v>
      </c>
      <c r="K76" t="s">
        <v>811</v>
      </c>
      <c r="L76" t="s">
        <v>922</v>
      </c>
      <c r="M76" t="s">
        <v>1098</v>
      </c>
      <c r="N76" t="s">
        <v>1906</v>
      </c>
      <c r="O76" t="s">
        <v>3447</v>
      </c>
      <c r="P76" t="s">
        <v>3448</v>
      </c>
      <c r="Q76" t="s">
        <v>971</v>
      </c>
      <c r="R76" t="s">
        <v>811</v>
      </c>
      <c r="S76" t="s">
        <v>922</v>
      </c>
      <c r="T76" t="s">
        <v>608</v>
      </c>
    </row>
    <row r="77" spans="1:20">
      <c r="A77" t="s">
        <v>15</v>
      </c>
      <c r="B77" t="s">
        <v>3209</v>
      </c>
      <c r="C77" t="s">
        <v>937</v>
      </c>
      <c r="D77" t="s">
        <v>3209</v>
      </c>
      <c r="E77" t="s">
        <v>3177</v>
      </c>
      <c r="F77" t="s">
        <v>1882</v>
      </c>
      <c r="G77" t="s">
        <v>2155</v>
      </c>
      <c r="H77" t="s">
        <v>3380</v>
      </c>
      <c r="I77">
        <v>119.27800000000001</v>
      </c>
      <c r="J77" t="s">
        <v>1390</v>
      </c>
      <c r="K77" t="s">
        <v>1076</v>
      </c>
      <c r="L77" t="s">
        <v>929</v>
      </c>
      <c r="M77" t="s">
        <v>1882</v>
      </c>
      <c r="N77" t="s">
        <v>2155</v>
      </c>
      <c r="O77" t="s">
        <v>3380</v>
      </c>
      <c r="P77">
        <v>119.27800000000001</v>
      </c>
      <c r="Q77" t="s">
        <v>1390</v>
      </c>
      <c r="R77" t="s">
        <v>1076</v>
      </c>
      <c r="S77" t="s">
        <v>929</v>
      </c>
      <c r="T77" t="s">
        <v>1390</v>
      </c>
    </row>
    <row r="78" spans="1:20">
      <c r="A78" t="s">
        <v>257</v>
      </c>
      <c r="B78" t="s">
        <v>2795</v>
      </c>
      <c r="C78" t="s">
        <v>937</v>
      </c>
      <c r="D78" t="s">
        <v>2795</v>
      </c>
      <c r="E78" t="s">
        <v>2805</v>
      </c>
      <c r="F78" t="s">
        <v>2203</v>
      </c>
      <c r="G78" t="s">
        <v>1259</v>
      </c>
      <c r="H78" t="s">
        <v>3952</v>
      </c>
      <c r="I78" t="s">
        <v>3953</v>
      </c>
      <c r="J78" t="s">
        <v>1326</v>
      </c>
      <c r="K78" t="s">
        <v>823</v>
      </c>
      <c r="L78" t="s">
        <v>866</v>
      </c>
      <c r="M78" t="s">
        <v>2203</v>
      </c>
      <c r="N78" t="s">
        <v>1259</v>
      </c>
      <c r="O78" t="s">
        <v>3952</v>
      </c>
      <c r="P78" t="s">
        <v>3953</v>
      </c>
      <c r="Q78" t="s">
        <v>1326</v>
      </c>
      <c r="R78" t="s">
        <v>823</v>
      </c>
      <c r="S78" t="s">
        <v>866</v>
      </c>
      <c r="T78" t="s">
        <v>1840</v>
      </c>
    </row>
    <row r="79" spans="1:20">
      <c r="A79" t="s">
        <v>510</v>
      </c>
      <c r="B79" t="s">
        <v>1856</v>
      </c>
      <c r="C79" t="s">
        <v>937</v>
      </c>
      <c r="D79" t="s">
        <v>1856</v>
      </c>
      <c r="E79" t="s">
        <v>2388</v>
      </c>
      <c r="F79" t="s">
        <v>2204</v>
      </c>
      <c r="G79" t="s">
        <v>1353</v>
      </c>
      <c r="H79" t="s">
        <v>3642</v>
      </c>
      <c r="I79">
        <v>411.952</v>
      </c>
      <c r="J79" t="s">
        <v>903</v>
      </c>
      <c r="K79" t="s">
        <v>770</v>
      </c>
      <c r="L79" t="s">
        <v>2715</v>
      </c>
      <c r="M79" t="s">
        <v>2204</v>
      </c>
      <c r="N79" t="s">
        <v>1353</v>
      </c>
      <c r="O79" t="s">
        <v>3642</v>
      </c>
      <c r="P79">
        <v>411.952</v>
      </c>
      <c r="Q79" t="s">
        <v>903</v>
      </c>
      <c r="R79" t="s">
        <v>770</v>
      </c>
      <c r="S79" t="s">
        <v>2715</v>
      </c>
      <c r="T79" t="s">
        <v>903</v>
      </c>
    </row>
    <row r="80" spans="1:20">
      <c r="A80" t="s">
        <v>16</v>
      </c>
      <c r="B80" t="s">
        <v>2733</v>
      </c>
      <c r="C80" t="s">
        <v>936</v>
      </c>
      <c r="D80" t="s">
        <v>3026</v>
      </c>
      <c r="E80" t="s">
        <v>2733</v>
      </c>
      <c r="F80" t="s">
        <v>964</v>
      </c>
      <c r="G80" t="s">
        <v>2205</v>
      </c>
      <c r="H80" t="s">
        <v>3852</v>
      </c>
      <c r="I80" t="s">
        <v>3853</v>
      </c>
      <c r="J80" t="s">
        <v>1228</v>
      </c>
      <c r="K80" t="s">
        <v>2740</v>
      </c>
      <c r="L80" t="s">
        <v>822</v>
      </c>
      <c r="M80" t="s">
        <v>964</v>
      </c>
      <c r="N80" t="s">
        <v>2205</v>
      </c>
      <c r="O80" t="s">
        <v>3852</v>
      </c>
      <c r="P80" t="s">
        <v>3853</v>
      </c>
      <c r="Q80" t="s">
        <v>1228</v>
      </c>
      <c r="R80" t="s">
        <v>2740</v>
      </c>
      <c r="S80" t="s">
        <v>822</v>
      </c>
      <c r="T80" t="s">
        <v>1228</v>
      </c>
    </row>
    <row r="81" spans="1:20">
      <c r="A81" t="s">
        <v>511</v>
      </c>
      <c r="B81" t="s">
        <v>3107</v>
      </c>
      <c r="C81" t="s">
        <v>937</v>
      </c>
      <c r="D81" t="s">
        <v>3107</v>
      </c>
      <c r="E81" t="s">
        <v>3103</v>
      </c>
      <c r="F81" t="s">
        <v>1967</v>
      </c>
      <c r="G81" t="s">
        <v>1968</v>
      </c>
      <c r="H81" t="s">
        <v>3542</v>
      </c>
      <c r="I81">
        <v>644.02300000000002</v>
      </c>
      <c r="J81" t="s">
        <v>1454</v>
      </c>
      <c r="K81" t="s">
        <v>2220</v>
      </c>
      <c r="L81" t="s">
        <v>712</v>
      </c>
      <c r="M81" t="s">
        <v>1967</v>
      </c>
      <c r="N81" t="s">
        <v>1968</v>
      </c>
      <c r="O81" t="s">
        <v>3542</v>
      </c>
      <c r="P81">
        <v>644.02300000000002</v>
      </c>
      <c r="Q81" t="s">
        <v>1454</v>
      </c>
      <c r="R81" t="s">
        <v>2220</v>
      </c>
      <c r="S81" t="s">
        <v>712</v>
      </c>
      <c r="T81" t="s">
        <v>1968</v>
      </c>
    </row>
    <row r="82" spans="1:20">
      <c r="A82" t="s">
        <v>258</v>
      </c>
      <c r="B82" t="s">
        <v>2636</v>
      </c>
      <c r="C82" t="s">
        <v>937</v>
      </c>
      <c r="D82" t="s">
        <v>2148</v>
      </c>
      <c r="E82" t="s">
        <v>2636</v>
      </c>
      <c r="F82" t="s">
        <v>2943</v>
      </c>
      <c r="G82" t="s">
        <v>1268</v>
      </c>
      <c r="H82" t="s">
        <v>3543</v>
      </c>
      <c r="I82" t="s">
        <v>3544</v>
      </c>
      <c r="J82" t="s">
        <v>1396</v>
      </c>
      <c r="K82" t="s">
        <v>1628</v>
      </c>
      <c r="L82" t="s">
        <v>1731</v>
      </c>
      <c r="M82" t="s">
        <v>2943</v>
      </c>
      <c r="N82" t="s">
        <v>1268</v>
      </c>
      <c r="O82" t="s">
        <v>3543</v>
      </c>
      <c r="P82" t="s">
        <v>3544</v>
      </c>
      <c r="Q82" t="s">
        <v>1396</v>
      </c>
      <c r="R82" t="s">
        <v>1628</v>
      </c>
      <c r="S82" t="s">
        <v>1731</v>
      </c>
      <c r="T82" t="s">
        <v>1877</v>
      </c>
    </row>
    <row r="83" spans="1:20">
      <c r="A83" t="s">
        <v>513</v>
      </c>
      <c r="B83" t="s">
        <v>2577</v>
      </c>
      <c r="C83" t="s">
        <v>937</v>
      </c>
      <c r="D83" t="s">
        <v>2577</v>
      </c>
      <c r="E83" t="s">
        <v>2624</v>
      </c>
      <c r="F83" t="s">
        <v>2473</v>
      </c>
      <c r="G83" t="s">
        <v>1122</v>
      </c>
      <c r="H83" t="s">
        <v>3239</v>
      </c>
      <c r="I83">
        <v>965.30100000000004</v>
      </c>
      <c r="J83" t="s">
        <v>1122</v>
      </c>
      <c r="K83" t="s">
        <v>1049</v>
      </c>
      <c r="L83" t="s">
        <v>2646</v>
      </c>
      <c r="M83" t="s">
        <v>2473</v>
      </c>
      <c r="N83" t="s">
        <v>1122</v>
      </c>
      <c r="O83" t="s">
        <v>3239</v>
      </c>
      <c r="P83">
        <v>965.30100000000004</v>
      </c>
      <c r="Q83" t="s">
        <v>1122</v>
      </c>
      <c r="R83" t="s">
        <v>1049</v>
      </c>
      <c r="S83" t="s">
        <v>2646</v>
      </c>
      <c r="T83" t="s">
        <v>1122</v>
      </c>
    </row>
    <row r="84" spans="1:20">
      <c r="A84" t="s">
        <v>514</v>
      </c>
      <c r="B84" t="s">
        <v>884</v>
      </c>
      <c r="C84" t="s">
        <v>937</v>
      </c>
      <c r="D84" t="s">
        <v>2207</v>
      </c>
      <c r="E84" t="s">
        <v>884</v>
      </c>
      <c r="F84" t="s">
        <v>2553</v>
      </c>
      <c r="G84" t="s">
        <v>1840</v>
      </c>
      <c r="H84" t="s">
        <v>3954</v>
      </c>
      <c r="I84" t="s">
        <v>3955</v>
      </c>
      <c r="J84" t="s">
        <v>580</v>
      </c>
      <c r="K84" t="s">
        <v>1842</v>
      </c>
      <c r="L84" t="s">
        <v>2604</v>
      </c>
      <c r="M84" t="s">
        <v>2553</v>
      </c>
      <c r="N84" t="s">
        <v>1840</v>
      </c>
      <c r="O84" t="s">
        <v>3954</v>
      </c>
      <c r="P84" t="s">
        <v>3955</v>
      </c>
      <c r="Q84" t="s">
        <v>580</v>
      </c>
      <c r="R84" t="s">
        <v>1842</v>
      </c>
      <c r="S84" t="s">
        <v>2604</v>
      </c>
      <c r="T84" t="s">
        <v>1625</v>
      </c>
    </row>
    <row r="85" spans="1:20">
      <c r="A85" t="s">
        <v>515</v>
      </c>
      <c r="B85" t="s">
        <v>3060</v>
      </c>
      <c r="C85" t="s">
        <v>937</v>
      </c>
      <c r="D85" t="s">
        <v>3060</v>
      </c>
      <c r="E85" t="s">
        <v>3059</v>
      </c>
      <c r="F85" t="s">
        <v>2452</v>
      </c>
      <c r="G85" t="s">
        <v>1468</v>
      </c>
      <c r="H85" t="s">
        <v>3299</v>
      </c>
      <c r="I85" t="s">
        <v>3300</v>
      </c>
      <c r="J85" t="s">
        <v>1456</v>
      </c>
      <c r="K85" t="s">
        <v>803</v>
      </c>
      <c r="L85" t="s">
        <v>820</v>
      </c>
      <c r="M85" t="s">
        <v>2452</v>
      </c>
      <c r="N85" t="s">
        <v>1468</v>
      </c>
      <c r="O85" t="s">
        <v>3299</v>
      </c>
      <c r="P85" t="s">
        <v>3300</v>
      </c>
      <c r="Q85" t="s">
        <v>1456</v>
      </c>
      <c r="R85" t="s">
        <v>803</v>
      </c>
      <c r="S85" t="s">
        <v>820</v>
      </c>
      <c r="T85" t="s">
        <v>1969</v>
      </c>
    </row>
    <row r="86" spans="1:20">
      <c r="A86" t="s">
        <v>516</v>
      </c>
      <c r="B86" t="s">
        <v>2325</v>
      </c>
      <c r="C86" t="s">
        <v>937</v>
      </c>
      <c r="D86" t="s">
        <v>2785</v>
      </c>
      <c r="E86" t="s">
        <v>2325</v>
      </c>
      <c r="F86" t="s">
        <v>1970</v>
      </c>
      <c r="G86" t="s">
        <v>710</v>
      </c>
      <c r="H86" t="s">
        <v>3740</v>
      </c>
      <c r="I86">
        <v>525.03499999999997</v>
      </c>
      <c r="J86" t="s">
        <v>1043</v>
      </c>
      <c r="K86" t="s">
        <v>800</v>
      </c>
      <c r="L86" t="s">
        <v>2720</v>
      </c>
      <c r="M86" t="s">
        <v>1970</v>
      </c>
      <c r="N86" t="s">
        <v>710</v>
      </c>
      <c r="O86" t="s">
        <v>3740</v>
      </c>
      <c r="P86">
        <v>525.03499999999997</v>
      </c>
      <c r="Q86" t="s">
        <v>1043</v>
      </c>
      <c r="R86" t="s">
        <v>800</v>
      </c>
      <c r="S86" t="s">
        <v>2720</v>
      </c>
      <c r="T86" t="s">
        <v>1971</v>
      </c>
    </row>
    <row r="87" spans="1:20">
      <c r="A87" t="s">
        <v>518</v>
      </c>
      <c r="B87" t="s">
        <v>1253</v>
      </c>
      <c r="C87" t="s">
        <v>937</v>
      </c>
      <c r="D87" t="s">
        <v>2987</v>
      </c>
      <c r="E87" t="s">
        <v>1253</v>
      </c>
      <c r="F87" t="s">
        <v>1813</v>
      </c>
      <c r="G87" t="s">
        <v>1815</v>
      </c>
      <c r="H87" t="s">
        <v>3956</v>
      </c>
      <c r="I87" t="s">
        <v>3957</v>
      </c>
      <c r="J87" t="s">
        <v>1253</v>
      </c>
      <c r="K87" t="s">
        <v>804</v>
      </c>
      <c r="L87" t="s">
        <v>804</v>
      </c>
      <c r="M87" t="s">
        <v>1813</v>
      </c>
      <c r="N87" t="s">
        <v>1815</v>
      </c>
      <c r="O87" t="s">
        <v>3956</v>
      </c>
      <c r="P87" t="s">
        <v>3957</v>
      </c>
      <c r="Q87" t="s">
        <v>1253</v>
      </c>
      <c r="R87" t="s">
        <v>804</v>
      </c>
      <c r="S87" t="s">
        <v>804</v>
      </c>
      <c r="T87" t="s">
        <v>1807</v>
      </c>
    </row>
    <row r="88" spans="1:20">
      <c r="A88" t="s">
        <v>519</v>
      </c>
      <c r="B88" t="s">
        <v>2696</v>
      </c>
      <c r="C88" t="s">
        <v>937</v>
      </c>
      <c r="D88" t="s">
        <v>2302</v>
      </c>
      <c r="E88" t="s">
        <v>2696</v>
      </c>
      <c r="F88" t="s">
        <v>2142</v>
      </c>
      <c r="G88" t="s">
        <v>1972</v>
      </c>
      <c r="H88" t="s">
        <v>3643</v>
      </c>
      <c r="I88" t="s">
        <v>3644</v>
      </c>
      <c r="J88" t="s">
        <v>888</v>
      </c>
      <c r="K88" t="s">
        <v>817</v>
      </c>
      <c r="L88" t="s">
        <v>2503</v>
      </c>
      <c r="M88" t="s">
        <v>2142</v>
      </c>
      <c r="N88" t="s">
        <v>1972</v>
      </c>
      <c r="O88" t="s">
        <v>3643</v>
      </c>
      <c r="P88" t="s">
        <v>3644</v>
      </c>
      <c r="Q88" t="s">
        <v>888</v>
      </c>
      <c r="R88" t="s">
        <v>817</v>
      </c>
      <c r="S88" t="s">
        <v>2503</v>
      </c>
      <c r="T88" t="s">
        <v>865</v>
      </c>
    </row>
    <row r="89" spans="1:20">
      <c r="A89" t="s">
        <v>259</v>
      </c>
      <c r="B89" t="s">
        <v>2324</v>
      </c>
      <c r="C89" t="s">
        <v>937</v>
      </c>
      <c r="D89" t="s">
        <v>2324</v>
      </c>
      <c r="E89" t="s">
        <v>2323</v>
      </c>
      <c r="F89" t="s">
        <v>2441</v>
      </c>
      <c r="G89" t="s">
        <v>1626</v>
      </c>
      <c r="H89" t="s">
        <v>3958</v>
      </c>
      <c r="I89" t="s">
        <v>3959</v>
      </c>
      <c r="J89" t="s">
        <v>921</v>
      </c>
      <c r="K89" t="s">
        <v>985</v>
      </c>
      <c r="L89" t="s">
        <v>2610</v>
      </c>
      <c r="M89" t="s">
        <v>2441</v>
      </c>
      <c r="N89" t="s">
        <v>1626</v>
      </c>
      <c r="O89" t="s">
        <v>3958</v>
      </c>
      <c r="P89" t="s">
        <v>3959</v>
      </c>
      <c r="Q89" t="s">
        <v>921</v>
      </c>
      <c r="R89" t="s">
        <v>985</v>
      </c>
      <c r="S89" t="s">
        <v>2610</v>
      </c>
      <c r="T89" t="s">
        <v>1626</v>
      </c>
    </row>
    <row r="90" spans="1:20">
      <c r="A90" t="s">
        <v>520</v>
      </c>
      <c r="B90" t="s">
        <v>2342</v>
      </c>
      <c r="C90" t="s">
        <v>937</v>
      </c>
      <c r="D90" t="s">
        <v>2342</v>
      </c>
      <c r="E90" t="s">
        <v>1770</v>
      </c>
      <c r="F90" t="s">
        <v>1549</v>
      </c>
      <c r="G90" t="s">
        <v>1899</v>
      </c>
      <c r="H90" t="s">
        <v>3434</v>
      </c>
      <c r="I90" t="s">
        <v>3435</v>
      </c>
      <c r="J90" t="s">
        <v>689</v>
      </c>
      <c r="K90" t="s">
        <v>775</v>
      </c>
      <c r="L90" t="s">
        <v>614</v>
      </c>
      <c r="M90" t="s">
        <v>1549</v>
      </c>
      <c r="N90" t="s">
        <v>1899</v>
      </c>
      <c r="O90" t="s">
        <v>3434</v>
      </c>
      <c r="P90" t="s">
        <v>3435</v>
      </c>
      <c r="Q90" t="s">
        <v>689</v>
      </c>
      <c r="R90" t="s">
        <v>775</v>
      </c>
      <c r="S90" t="s">
        <v>614</v>
      </c>
      <c r="T90" t="s">
        <v>1899</v>
      </c>
    </row>
    <row r="91" spans="1:20">
      <c r="A91" t="s">
        <v>521</v>
      </c>
      <c r="B91" t="s">
        <v>2818</v>
      </c>
      <c r="C91" t="s">
        <v>937</v>
      </c>
      <c r="D91" t="s">
        <v>2818</v>
      </c>
      <c r="E91" t="s">
        <v>2388</v>
      </c>
      <c r="F91" t="s">
        <v>706</v>
      </c>
      <c r="G91" t="s">
        <v>588</v>
      </c>
      <c r="H91" t="s">
        <v>3854</v>
      </c>
      <c r="I91" t="s">
        <v>3855</v>
      </c>
      <c r="J91" t="s">
        <v>588</v>
      </c>
      <c r="K91" t="s">
        <v>2495</v>
      </c>
      <c r="L91" t="s">
        <v>2845</v>
      </c>
      <c r="M91" t="s">
        <v>706</v>
      </c>
      <c r="N91" t="s">
        <v>588</v>
      </c>
      <c r="O91" t="s">
        <v>3854</v>
      </c>
      <c r="P91" t="s">
        <v>3855</v>
      </c>
      <c r="Q91" t="s">
        <v>588</v>
      </c>
      <c r="R91" t="s">
        <v>2495</v>
      </c>
      <c r="S91" t="s">
        <v>2845</v>
      </c>
      <c r="T91" t="s">
        <v>588</v>
      </c>
    </row>
    <row r="92" spans="1:20">
      <c r="A92" t="s">
        <v>522</v>
      </c>
      <c r="B92" t="s">
        <v>2950</v>
      </c>
      <c r="C92" t="s">
        <v>936</v>
      </c>
      <c r="D92" t="s">
        <v>2386</v>
      </c>
      <c r="E92" t="s">
        <v>2950</v>
      </c>
      <c r="F92" t="s">
        <v>1973</v>
      </c>
      <c r="G92" t="s">
        <v>975</v>
      </c>
      <c r="H92" t="s">
        <v>3301</v>
      </c>
      <c r="I92" t="s">
        <v>3302</v>
      </c>
      <c r="J92" t="s">
        <v>1230</v>
      </c>
      <c r="K92" t="s">
        <v>823</v>
      </c>
      <c r="L92" t="s">
        <v>832</v>
      </c>
      <c r="M92" t="s">
        <v>1973</v>
      </c>
      <c r="N92" t="s">
        <v>975</v>
      </c>
      <c r="O92" t="s">
        <v>3301</v>
      </c>
      <c r="P92" t="s">
        <v>3302</v>
      </c>
      <c r="Q92" t="s">
        <v>1230</v>
      </c>
      <c r="R92" t="s">
        <v>823</v>
      </c>
      <c r="S92" t="s">
        <v>832</v>
      </c>
      <c r="T92" t="s">
        <v>1230</v>
      </c>
    </row>
    <row r="93" spans="1:20">
      <c r="A93" t="s">
        <v>523</v>
      </c>
      <c r="B93" t="s">
        <v>954</v>
      </c>
      <c r="C93" t="s">
        <v>937</v>
      </c>
      <c r="D93" t="s">
        <v>2823</v>
      </c>
      <c r="E93" t="s">
        <v>954</v>
      </c>
      <c r="F93" t="s">
        <v>702</v>
      </c>
      <c r="G93" t="s">
        <v>2035</v>
      </c>
      <c r="H93" t="s">
        <v>3856</v>
      </c>
      <c r="I93">
        <v>493.30200000000002</v>
      </c>
      <c r="J93" t="s">
        <v>1288</v>
      </c>
      <c r="K93" t="s">
        <v>835</v>
      </c>
      <c r="L93" t="s">
        <v>2235</v>
      </c>
      <c r="M93" t="s">
        <v>702</v>
      </c>
      <c r="N93" t="s">
        <v>2035</v>
      </c>
      <c r="O93" t="s">
        <v>3856</v>
      </c>
      <c r="P93">
        <v>493.30200000000002</v>
      </c>
      <c r="Q93" t="s">
        <v>1288</v>
      </c>
      <c r="R93" t="s">
        <v>835</v>
      </c>
      <c r="S93" t="s">
        <v>2235</v>
      </c>
      <c r="T93" t="s">
        <v>1788</v>
      </c>
    </row>
    <row r="94" spans="1:20">
      <c r="A94" t="s">
        <v>524</v>
      </c>
      <c r="B94" t="s">
        <v>2577</v>
      </c>
      <c r="C94" t="s">
        <v>936</v>
      </c>
      <c r="D94" t="s">
        <v>2781</v>
      </c>
      <c r="E94" t="s">
        <v>2577</v>
      </c>
      <c r="F94" t="s">
        <v>1764</v>
      </c>
      <c r="G94" t="s">
        <v>1721</v>
      </c>
      <c r="H94" t="s">
        <v>3303</v>
      </c>
      <c r="I94">
        <v>443.197</v>
      </c>
      <c r="J94" t="s">
        <v>970</v>
      </c>
      <c r="K94" t="s">
        <v>985</v>
      </c>
      <c r="L94" t="s">
        <v>594</v>
      </c>
      <c r="M94" t="s">
        <v>1764</v>
      </c>
      <c r="N94" t="s">
        <v>1721</v>
      </c>
      <c r="O94" t="s">
        <v>3303</v>
      </c>
      <c r="P94">
        <v>443.197</v>
      </c>
      <c r="Q94" t="s">
        <v>970</v>
      </c>
      <c r="R94" t="s">
        <v>985</v>
      </c>
      <c r="S94" t="s">
        <v>594</v>
      </c>
      <c r="T94" t="s">
        <v>1841</v>
      </c>
    </row>
    <row r="95" spans="1:20">
      <c r="A95" t="s">
        <v>525</v>
      </c>
      <c r="B95" t="s">
        <v>2973</v>
      </c>
      <c r="C95" t="s">
        <v>937</v>
      </c>
      <c r="D95" t="s">
        <v>2966</v>
      </c>
      <c r="E95" t="s">
        <v>2973</v>
      </c>
      <c r="F95" t="s">
        <v>1312</v>
      </c>
      <c r="G95" t="s">
        <v>1806</v>
      </c>
      <c r="H95" t="s">
        <v>3674</v>
      </c>
      <c r="I95" t="s">
        <v>3675</v>
      </c>
      <c r="J95" t="s">
        <v>1373</v>
      </c>
      <c r="K95" t="s">
        <v>882</v>
      </c>
      <c r="L95" t="s">
        <v>856</v>
      </c>
      <c r="M95" t="s">
        <v>1312</v>
      </c>
      <c r="N95" t="s">
        <v>1806</v>
      </c>
      <c r="O95" t="s">
        <v>3674</v>
      </c>
      <c r="P95" t="s">
        <v>3675</v>
      </c>
      <c r="Q95" t="s">
        <v>1373</v>
      </c>
      <c r="R95" t="s">
        <v>882</v>
      </c>
      <c r="S95" t="s">
        <v>856</v>
      </c>
      <c r="T95" t="s">
        <v>1738</v>
      </c>
    </row>
    <row r="96" spans="1:20">
      <c r="A96" t="s">
        <v>526</v>
      </c>
      <c r="B96" t="s">
        <v>2608</v>
      </c>
      <c r="C96" t="s">
        <v>936</v>
      </c>
      <c r="D96" t="s">
        <v>2608</v>
      </c>
      <c r="E96" t="s">
        <v>1456</v>
      </c>
      <c r="F96" t="s">
        <v>634</v>
      </c>
      <c r="G96" t="s">
        <v>2208</v>
      </c>
      <c r="H96" t="s">
        <v>3304</v>
      </c>
      <c r="I96" t="s">
        <v>3058</v>
      </c>
      <c r="J96" t="s">
        <v>1458</v>
      </c>
      <c r="K96" t="s">
        <v>762</v>
      </c>
      <c r="L96" t="s">
        <v>2359</v>
      </c>
      <c r="M96" t="s">
        <v>634</v>
      </c>
      <c r="N96" t="s">
        <v>2208</v>
      </c>
      <c r="O96" t="s">
        <v>3304</v>
      </c>
      <c r="P96" t="s">
        <v>3058</v>
      </c>
      <c r="Q96" t="s">
        <v>1458</v>
      </c>
      <c r="R96" t="s">
        <v>762</v>
      </c>
      <c r="S96" t="s">
        <v>2359</v>
      </c>
      <c r="T96" t="s">
        <v>1458</v>
      </c>
    </row>
    <row r="97" spans="1:20">
      <c r="A97" t="s">
        <v>17</v>
      </c>
      <c r="B97" t="s">
        <v>2940</v>
      </c>
      <c r="C97" t="s">
        <v>937</v>
      </c>
      <c r="D97" t="s">
        <v>2940</v>
      </c>
      <c r="E97" t="s">
        <v>2830</v>
      </c>
      <c r="F97" t="s">
        <v>1504</v>
      </c>
      <c r="G97" t="s">
        <v>1834</v>
      </c>
      <c r="H97" t="s">
        <v>3560</v>
      </c>
      <c r="I97" t="s">
        <v>3561</v>
      </c>
      <c r="J97" t="s">
        <v>964</v>
      </c>
      <c r="K97" t="s">
        <v>875</v>
      </c>
      <c r="L97" t="s">
        <v>773</v>
      </c>
      <c r="M97" t="s">
        <v>1504</v>
      </c>
      <c r="N97" t="s">
        <v>1834</v>
      </c>
      <c r="O97" t="s">
        <v>3560</v>
      </c>
      <c r="P97" t="s">
        <v>3561</v>
      </c>
      <c r="Q97" t="s">
        <v>964</v>
      </c>
      <c r="R97" t="s">
        <v>875</v>
      </c>
      <c r="S97" t="s">
        <v>773</v>
      </c>
      <c r="T97" t="s">
        <v>964</v>
      </c>
    </row>
    <row r="98" spans="1:20">
      <c r="A98" t="s">
        <v>18</v>
      </c>
      <c r="B98" t="s">
        <v>2957</v>
      </c>
      <c r="C98" t="s">
        <v>937</v>
      </c>
      <c r="D98" t="s">
        <v>2969</v>
      </c>
      <c r="E98" t="s">
        <v>2957</v>
      </c>
      <c r="F98" t="s">
        <v>2209</v>
      </c>
      <c r="G98" t="s">
        <v>1262</v>
      </c>
      <c r="H98" t="s">
        <v>3610</v>
      </c>
      <c r="I98">
        <v>179.90199999999999</v>
      </c>
      <c r="J98" t="s">
        <v>1135</v>
      </c>
      <c r="K98" t="s">
        <v>737</v>
      </c>
      <c r="L98" t="s">
        <v>2315</v>
      </c>
      <c r="M98" t="s">
        <v>2209</v>
      </c>
      <c r="N98" t="s">
        <v>1262</v>
      </c>
      <c r="O98" t="s">
        <v>3610</v>
      </c>
      <c r="P98">
        <v>179.90199999999999</v>
      </c>
      <c r="Q98" t="s">
        <v>1135</v>
      </c>
      <c r="R98" t="s">
        <v>737</v>
      </c>
      <c r="S98" t="s">
        <v>2315</v>
      </c>
      <c r="T98" t="s">
        <v>1911</v>
      </c>
    </row>
    <row r="99" spans="1:20">
      <c r="A99" t="s">
        <v>527</v>
      </c>
      <c r="B99" t="s">
        <v>2755</v>
      </c>
      <c r="C99" t="s">
        <v>937</v>
      </c>
      <c r="D99" t="s">
        <v>1926</v>
      </c>
      <c r="E99" t="s">
        <v>2755</v>
      </c>
      <c r="F99" t="s">
        <v>965</v>
      </c>
      <c r="G99" t="s">
        <v>1975</v>
      </c>
      <c r="H99" t="s">
        <v>3960</v>
      </c>
      <c r="I99" t="s">
        <v>3961</v>
      </c>
      <c r="J99" t="s">
        <v>1085</v>
      </c>
      <c r="K99" t="s">
        <v>844</v>
      </c>
      <c r="L99" t="s">
        <v>1903</v>
      </c>
      <c r="M99" t="s">
        <v>965</v>
      </c>
      <c r="N99" t="s">
        <v>1975</v>
      </c>
      <c r="O99" t="s">
        <v>3960</v>
      </c>
      <c r="P99" t="s">
        <v>3961</v>
      </c>
      <c r="Q99" t="s">
        <v>1085</v>
      </c>
      <c r="R99" t="s">
        <v>844</v>
      </c>
      <c r="S99" t="s">
        <v>1903</v>
      </c>
      <c r="T99" t="s">
        <v>609</v>
      </c>
    </row>
    <row r="100" spans="1:20">
      <c r="A100" t="s">
        <v>19</v>
      </c>
      <c r="B100" t="s">
        <v>1585</v>
      </c>
      <c r="C100" t="s">
        <v>937</v>
      </c>
      <c r="D100" t="s">
        <v>2385</v>
      </c>
      <c r="E100" t="s">
        <v>1585</v>
      </c>
      <c r="F100" t="s">
        <v>1783</v>
      </c>
      <c r="G100" t="s">
        <v>2211</v>
      </c>
      <c r="H100" t="s">
        <v>3545</v>
      </c>
      <c r="I100" t="s">
        <v>3546</v>
      </c>
      <c r="J100" t="s">
        <v>1058</v>
      </c>
      <c r="K100" t="s">
        <v>791</v>
      </c>
      <c r="L100" t="s">
        <v>768</v>
      </c>
      <c r="M100" t="s">
        <v>1783</v>
      </c>
      <c r="N100" t="s">
        <v>2211</v>
      </c>
      <c r="O100" t="s">
        <v>3545</v>
      </c>
      <c r="P100" t="s">
        <v>3546</v>
      </c>
      <c r="Q100" t="s">
        <v>1058</v>
      </c>
      <c r="R100" t="s">
        <v>791</v>
      </c>
      <c r="S100" t="s">
        <v>768</v>
      </c>
      <c r="T100" t="s">
        <v>1107</v>
      </c>
    </row>
    <row r="101" spans="1:20">
      <c r="A101" t="s">
        <v>528</v>
      </c>
      <c r="B101" t="s">
        <v>600</v>
      </c>
      <c r="C101" t="s">
        <v>937</v>
      </c>
      <c r="D101" t="s">
        <v>600</v>
      </c>
      <c r="E101" t="s">
        <v>560</v>
      </c>
      <c r="F101" t="s">
        <v>2078</v>
      </c>
      <c r="G101" t="s">
        <v>600</v>
      </c>
      <c r="H101" t="s">
        <v>3645</v>
      </c>
      <c r="I101" t="s">
        <v>3646</v>
      </c>
      <c r="J101" t="s">
        <v>863</v>
      </c>
      <c r="K101" t="s">
        <v>753</v>
      </c>
      <c r="L101" t="s">
        <v>818</v>
      </c>
      <c r="M101" t="s">
        <v>2078</v>
      </c>
      <c r="N101" t="s">
        <v>600</v>
      </c>
      <c r="O101" t="s">
        <v>3645</v>
      </c>
      <c r="P101" t="s">
        <v>3646</v>
      </c>
      <c r="Q101" t="s">
        <v>863</v>
      </c>
      <c r="R101" t="s">
        <v>753</v>
      </c>
      <c r="S101" t="s">
        <v>818</v>
      </c>
      <c r="T101" t="s">
        <v>1940</v>
      </c>
    </row>
    <row r="102" spans="1:20">
      <c r="A102" t="s">
        <v>529</v>
      </c>
      <c r="B102" t="s">
        <v>3158</v>
      </c>
      <c r="C102" t="s">
        <v>936</v>
      </c>
      <c r="D102" t="s">
        <v>3170</v>
      </c>
      <c r="E102" t="s">
        <v>3158</v>
      </c>
      <c r="F102" t="s">
        <v>1561</v>
      </c>
      <c r="G102" t="s">
        <v>3166</v>
      </c>
      <c r="H102" t="s">
        <v>3857</v>
      </c>
      <c r="I102">
        <v>409.01900000000001</v>
      </c>
      <c r="J102" t="s">
        <v>708</v>
      </c>
      <c r="K102" t="s">
        <v>2455</v>
      </c>
      <c r="L102" t="s">
        <v>2543</v>
      </c>
      <c r="M102" t="s">
        <v>1561</v>
      </c>
      <c r="N102" t="s">
        <v>3166</v>
      </c>
      <c r="O102" t="s">
        <v>3857</v>
      </c>
      <c r="P102">
        <v>409.01900000000001</v>
      </c>
      <c r="Q102" t="s">
        <v>708</v>
      </c>
      <c r="R102" t="s">
        <v>2455</v>
      </c>
      <c r="S102" t="s">
        <v>2543</v>
      </c>
      <c r="T102" t="s">
        <v>1944</v>
      </c>
    </row>
    <row r="103" spans="1:20">
      <c r="A103" t="s">
        <v>530</v>
      </c>
      <c r="B103" t="s">
        <v>2688</v>
      </c>
      <c r="C103" t="s">
        <v>936</v>
      </c>
      <c r="D103" t="s">
        <v>2827</v>
      </c>
      <c r="E103" t="s">
        <v>2688</v>
      </c>
      <c r="F103" t="s">
        <v>1977</v>
      </c>
      <c r="G103" t="s">
        <v>1783</v>
      </c>
      <c r="H103" t="s">
        <v>3858</v>
      </c>
      <c r="I103">
        <v>312.46899999999999</v>
      </c>
      <c r="J103" t="s">
        <v>1459</v>
      </c>
      <c r="K103" t="s">
        <v>791</v>
      </c>
      <c r="L103" t="s">
        <v>1689</v>
      </c>
      <c r="M103" t="s">
        <v>1977</v>
      </c>
      <c r="N103" t="s">
        <v>1783</v>
      </c>
      <c r="O103" t="s">
        <v>3858</v>
      </c>
      <c r="P103">
        <v>312.46899999999999</v>
      </c>
      <c r="Q103" t="s">
        <v>1459</v>
      </c>
      <c r="R103" t="s">
        <v>791</v>
      </c>
      <c r="S103" t="s">
        <v>1689</v>
      </c>
      <c r="T103" t="s">
        <v>1459</v>
      </c>
    </row>
    <row r="104" spans="1:20">
      <c r="A104" t="s">
        <v>531</v>
      </c>
      <c r="B104" t="s">
        <v>1921</v>
      </c>
      <c r="C104" t="s">
        <v>936</v>
      </c>
      <c r="D104" t="s">
        <v>1921</v>
      </c>
      <c r="E104" t="s">
        <v>3115</v>
      </c>
      <c r="F104" t="s">
        <v>2920</v>
      </c>
      <c r="G104" t="s">
        <v>1978</v>
      </c>
      <c r="H104" t="s">
        <v>3783</v>
      </c>
      <c r="I104">
        <v>566.83500000000004</v>
      </c>
      <c r="J104" t="s">
        <v>1437</v>
      </c>
      <c r="K104" t="s">
        <v>829</v>
      </c>
      <c r="L104" t="s">
        <v>1628</v>
      </c>
      <c r="M104" t="s">
        <v>2920</v>
      </c>
      <c r="N104" t="s">
        <v>1978</v>
      </c>
      <c r="O104" t="s">
        <v>3783</v>
      </c>
      <c r="P104">
        <v>566.83500000000004</v>
      </c>
      <c r="Q104" t="s">
        <v>1437</v>
      </c>
      <c r="R104" t="s">
        <v>829</v>
      </c>
      <c r="S104" t="s">
        <v>1628</v>
      </c>
      <c r="T104" t="s">
        <v>1978</v>
      </c>
    </row>
    <row r="105" spans="1:20">
      <c r="A105" t="s">
        <v>532</v>
      </c>
      <c r="B105" t="s">
        <v>616</v>
      </c>
      <c r="C105" t="s">
        <v>936</v>
      </c>
      <c r="D105" t="s">
        <v>2709</v>
      </c>
      <c r="E105" t="s">
        <v>616</v>
      </c>
      <c r="F105" t="s">
        <v>1110</v>
      </c>
      <c r="G105" t="s">
        <v>615</v>
      </c>
      <c r="H105" t="s">
        <v>3784</v>
      </c>
      <c r="I105">
        <v>915.39200000000005</v>
      </c>
      <c r="J105" t="s">
        <v>1284</v>
      </c>
      <c r="K105" t="s">
        <v>957</v>
      </c>
      <c r="L105" t="s">
        <v>2803</v>
      </c>
      <c r="M105" t="s">
        <v>1110</v>
      </c>
      <c r="N105" t="s">
        <v>615</v>
      </c>
      <c r="O105" t="s">
        <v>3784</v>
      </c>
      <c r="P105">
        <v>915.39200000000005</v>
      </c>
      <c r="Q105" t="s">
        <v>1284</v>
      </c>
      <c r="R105" t="s">
        <v>957</v>
      </c>
      <c r="S105" t="s">
        <v>2803</v>
      </c>
      <c r="T105" t="s">
        <v>615</v>
      </c>
    </row>
    <row r="106" spans="1:20">
      <c r="A106" t="s">
        <v>260</v>
      </c>
      <c r="B106" t="s">
        <v>2387</v>
      </c>
      <c r="C106" t="s">
        <v>937</v>
      </c>
      <c r="D106" t="s">
        <v>2387</v>
      </c>
      <c r="E106" t="s">
        <v>657</v>
      </c>
      <c r="F106" t="s">
        <v>1125</v>
      </c>
      <c r="G106" t="s">
        <v>1151</v>
      </c>
      <c r="H106" t="s">
        <v>3962</v>
      </c>
      <c r="I106" t="s">
        <v>3963</v>
      </c>
      <c r="J106" t="s">
        <v>1152</v>
      </c>
      <c r="K106" t="s">
        <v>818</v>
      </c>
      <c r="L106" t="s">
        <v>1145</v>
      </c>
      <c r="M106" t="s">
        <v>1125</v>
      </c>
      <c r="N106" t="s">
        <v>1151</v>
      </c>
      <c r="O106" t="s">
        <v>3962</v>
      </c>
      <c r="P106" t="s">
        <v>3963</v>
      </c>
      <c r="Q106" t="s">
        <v>1152</v>
      </c>
      <c r="R106" t="s">
        <v>818</v>
      </c>
      <c r="S106" t="s">
        <v>1145</v>
      </c>
      <c r="T106" t="s">
        <v>1151</v>
      </c>
    </row>
    <row r="107" spans="1:20">
      <c r="A107" t="s">
        <v>534</v>
      </c>
      <c r="B107" t="s">
        <v>1737</v>
      </c>
      <c r="C107" t="s">
        <v>937</v>
      </c>
      <c r="D107" t="s">
        <v>2291</v>
      </c>
      <c r="E107" t="s">
        <v>1737</v>
      </c>
      <c r="F107" t="s">
        <v>1612</v>
      </c>
      <c r="G107" t="s">
        <v>1711</v>
      </c>
      <c r="H107" t="s">
        <v>3859</v>
      </c>
      <c r="I107" t="s">
        <v>3860</v>
      </c>
      <c r="J107" t="s">
        <v>1068</v>
      </c>
      <c r="K107" t="s">
        <v>806</v>
      </c>
      <c r="L107" t="s">
        <v>842</v>
      </c>
      <c r="M107" t="s">
        <v>1612</v>
      </c>
      <c r="N107" t="s">
        <v>1711</v>
      </c>
      <c r="O107" t="s">
        <v>3859</v>
      </c>
      <c r="P107" t="s">
        <v>3860</v>
      </c>
      <c r="Q107" t="s">
        <v>1068</v>
      </c>
      <c r="R107" t="s">
        <v>806</v>
      </c>
      <c r="S107" t="s">
        <v>842</v>
      </c>
      <c r="T107" t="s">
        <v>1685</v>
      </c>
    </row>
    <row r="108" spans="1:20">
      <c r="A108" t="s">
        <v>20</v>
      </c>
      <c r="B108" t="s">
        <v>3210</v>
      </c>
      <c r="C108" t="s">
        <v>937</v>
      </c>
      <c r="D108" t="s">
        <v>3210</v>
      </c>
      <c r="E108" t="s">
        <v>3095</v>
      </c>
      <c r="F108" t="s">
        <v>1631</v>
      </c>
      <c r="G108" t="s">
        <v>2215</v>
      </c>
      <c r="H108" t="s">
        <v>3591</v>
      </c>
      <c r="I108">
        <v>703.89499999999998</v>
      </c>
      <c r="J108" t="s">
        <v>1418</v>
      </c>
      <c r="K108" t="s">
        <v>2982</v>
      </c>
      <c r="L108" t="s">
        <v>2539</v>
      </c>
      <c r="M108" t="s">
        <v>1631</v>
      </c>
      <c r="N108" t="s">
        <v>2215</v>
      </c>
      <c r="O108" t="s">
        <v>3591</v>
      </c>
      <c r="P108">
        <v>703.89499999999998</v>
      </c>
      <c r="Q108" t="s">
        <v>1418</v>
      </c>
      <c r="R108" t="s">
        <v>2982</v>
      </c>
      <c r="S108" t="s">
        <v>2539</v>
      </c>
      <c r="T108" t="s">
        <v>1418</v>
      </c>
    </row>
    <row r="109" spans="1:20">
      <c r="A109" t="s">
        <v>535</v>
      </c>
      <c r="B109" t="s">
        <v>978</v>
      </c>
      <c r="C109" t="s">
        <v>937</v>
      </c>
      <c r="D109" t="s">
        <v>885</v>
      </c>
      <c r="E109" t="s">
        <v>978</v>
      </c>
      <c r="F109" t="s">
        <v>517</v>
      </c>
      <c r="G109" t="s">
        <v>2217</v>
      </c>
      <c r="H109" t="s">
        <v>3381</v>
      </c>
      <c r="I109">
        <v>565.06299999999999</v>
      </c>
      <c r="J109" t="s">
        <v>1461</v>
      </c>
      <c r="K109" t="s">
        <v>848</v>
      </c>
      <c r="L109" t="s">
        <v>782</v>
      </c>
      <c r="M109" t="s">
        <v>517</v>
      </c>
      <c r="N109" t="s">
        <v>2217</v>
      </c>
      <c r="O109" t="s">
        <v>3381</v>
      </c>
      <c r="P109">
        <v>565.06299999999999</v>
      </c>
      <c r="Q109" t="s">
        <v>1461</v>
      </c>
      <c r="R109" t="s">
        <v>848</v>
      </c>
      <c r="S109" t="s">
        <v>782</v>
      </c>
      <c r="T109" t="s">
        <v>1461</v>
      </c>
    </row>
    <row r="110" spans="1:20">
      <c r="A110" t="s">
        <v>536</v>
      </c>
      <c r="B110" t="s">
        <v>933</v>
      </c>
      <c r="C110" t="s">
        <v>936</v>
      </c>
      <c r="D110" t="s">
        <v>933</v>
      </c>
      <c r="F110" t="s">
        <v>933</v>
      </c>
      <c r="G110" t="s">
        <v>587</v>
      </c>
      <c r="H110" t="s">
        <v>3785</v>
      </c>
      <c r="I110" t="s">
        <v>3786</v>
      </c>
      <c r="J110" t="s">
        <v>658</v>
      </c>
      <c r="K110" t="s">
        <v>1628</v>
      </c>
      <c r="L110" t="s">
        <v>2937</v>
      </c>
      <c r="M110" t="s">
        <v>933</v>
      </c>
      <c r="N110" t="s">
        <v>587</v>
      </c>
      <c r="O110" t="s">
        <v>3785</v>
      </c>
      <c r="P110" t="s">
        <v>3786</v>
      </c>
      <c r="Q110" t="s">
        <v>658</v>
      </c>
      <c r="R110" t="s">
        <v>1628</v>
      </c>
      <c r="S110" t="s">
        <v>2937</v>
      </c>
      <c r="T110" t="s">
        <v>587</v>
      </c>
    </row>
    <row r="111" spans="1:20">
      <c r="A111" t="s">
        <v>537</v>
      </c>
      <c r="B111" t="s">
        <v>1516</v>
      </c>
      <c r="C111" t="s">
        <v>936</v>
      </c>
      <c r="D111" t="s">
        <v>1516</v>
      </c>
      <c r="F111" t="s">
        <v>1516</v>
      </c>
      <c r="G111" t="s">
        <v>724</v>
      </c>
      <c r="H111" t="s">
        <v>3964</v>
      </c>
      <c r="I111" t="s">
        <v>3965</v>
      </c>
      <c r="J111" t="s">
        <v>1462</v>
      </c>
      <c r="K111" t="s">
        <v>928</v>
      </c>
      <c r="L111" t="s">
        <v>852</v>
      </c>
      <c r="M111" t="s">
        <v>1516</v>
      </c>
      <c r="N111" t="s">
        <v>724</v>
      </c>
      <c r="O111" t="s">
        <v>3964</v>
      </c>
      <c r="P111" t="s">
        <v>3965</v>
      </c>
      <c r="Q111" t="s">
        <v>1462</v>
      </c>
      <c r="R111" t="s">
        <v>928</v>
      </c>
      <c r="S111" t="s">
        <v>852</v>
      </c>
      <c r="T111" t="s">
        <v>786</v>
      </c>
    </row>
    <row r="112" spans="1:20">
      <c r="A112" t="s">
        <v>538</v>
      </c>
      <c r="B112" t="s">
        <v>2355</v>
      </c>
      <c r="C112" t="s">
        <v>937</v>
      </c>
      <c r="D112" t="s">
        <v>1102</v>
      </c>
      <c r="E112" t="s">
        <v>2355</v>
      </c>
      <c r="F112" t="s">
        <v>687</v>
      </c>
      <c r="G112" t="s">
        <v>1220</v>
      </c>
      <c r="H112" t="s">
        <v>3436</v>
      </c>
      <c r="I112" t="s">
        <v>3437</v>
      </c>
      <c r="J112" t="s">
        <v>576</v>
      </c>
      <c r="K112" t="s">
        <v>774</v>
      </c>
      <c r="L112" t="s">
        <v>1180</v>
      </c>
      <c r="M112" t="s">
        <v>687</v>
      </c>
      <c r="N112" t="s">
        <v>1220</v>
      </c>
      <c r="O112" t="s">
        <v>3436</v>
      </c>
      <c r="P112" t="s">
        <v>3437</v>
      </c>
      <c r="Q112" t="s">
        <v>576</v>
      </c>
      <c r="R112" t="s">
        <v>774</v>
      </c>
      <c r="S112" t="s">
        <v>1180</v>
      </c>
      <c r="T112" t="s">
        <v>449</v>
      </c>
    </row>
    <row r="113" spans="1:20">
      <c r="A113" t="s">
        <v>21</v>
      </c>
      <c r="B113" t="s">
        <v>1453</v>
      </c>
      <c r="C113" t="s">
        <v>937</v>
      </c>
      <c r="D113" t="s">
        <v>1453</v>
      </c>
      <c r="E113" t="s">
        <v>2837</v>
      </c>
      <c r="F113" t="s">
        <v>1632</v>
      </c>
      <c r="G113" t="s">
        <v>1453</v>
      </c>
      <c r="H113" t="s">
        <v>3676</v>
      </c>
      <c r="I113" t="s">
        <v>3677</v>
      </c>
      <c r="J113" t="s">
        <v>1301</v>
      </c>
      <c r="K113" t="s">
        <v>859</v>
      </c>
      <c r="L113" t="s">
        <v>2403</v>
      </c>
      <c r="M113" t="s">
        <v>1632</v>
      </c>
      <c r="N113" t="s">
        <v>1453</v>
      </c>
      <c r="O113" t="s">
        <v>3676</v>
      </c>
      <c r="P113" t="s">
        <v>3677</v>
      </c>
      <c r="Q113" t="s">
        <v>1301</v>
      </c>
      <c r="R113" t="s">
        <v>859</v>
      </c>
      <c r="S113" t="s">
        <v>2403</v>
      </c>
      <c r="T113" t="s">
        <v>1345</v>
      </c>
    </row>
    <row r="114" spans="1:20">
      <c r="A114" t="s">
        <v>22</v>
      </c>
      <c r="B114" t="s">
        <v>2477</v>
      </c>
      <c r="C114" t="s">
        <v>936</v>
      </c>
      <c r="D114" t="s">
        <v>2614</v>
      </c>
      <c r="E114" t="s">
        <v>2477</v>
      </c>
      <c r="F114" t="s">
        <v>1981</v>
      </c>
      <c r="G114" t="s">
        <v>2126</v>
      </c>
      <c r="H114" t="s">
        <v>3966</v>
      </c>
      <c r="I114">
        <v>116.58799999999999</v>
      </c>
      <c r="J114" t="s">
        <v>718</v>
      </c>
      <c r="K114" t="s">
        <v>831</v>
      </c>
      <c r="L114" t="s">
        <v>890</v>
      </c>
      <c r="M114" t="s">
        <v>1981</v>
      </c>
      <c r="N114" t="s">
        <v>2126</v>
      </c>
      <c r="O114" t="s">
        <v>3966</v>
      </c>
      <c r="P114">
        <v>116.58799999999999</v>
      </c>
      <c r="Q114" t="s">
        <v>718</v>
      </c>
      <c r="R114" t="s">
        <v>831</v>
      </c>
      <c r="S114" t="s">
        <v>890</v>
      </c>
      <c r="T114" t="s">
        <v>1982</v>
      </c>
    </row>
    <row r="115" spans="1:20">
      <c r="A115" t="s">
        <v>23</v>
      </c>
      <c r="B115" t="s">
        <v>2944</v>
      </c>
      <c r="C115" t="s">
        <v>936</v>
      </c>
      <c r="D115" t="s">
        <v>2944</v>
      </c>
      <c r="E115" t="s">
        <v>2954</v>
      </c>
      <c r="F115" t="s">
        <v>1084</v>
      </c>
      <c r="G115" t="s">
        <v>1983</v>
      </c>
      <c r="H115" t="s">
        <v>3741</v>
      </c>
      <c r="I115">
        <v>40.835000000000001</v>
      </c>
      <c r="J115" t="s">
        <v>1464</v>
      </c>
      <c r="K115" t="s">
        <v>1207</v>
      </c>
      <c r="L115" t="s">
        <v>1664</v>
      </c>
      <c r="M115" t="s">
        <v>1084</v>
      </c>
      <c r="N115" t="s">
        <v>1983</v>
      </c>
      <c r="O115" t="s">
        <v>3741</v>
      </c>
      <c r="P115">
        <v>40.835000000000001</v>
      </c>
      <c r="Q115" t="s">
        <v>1464</v>
      </c>
      <c r="R115" t="s">
        <v>1207</v>
      </c>
      <c r="S115" t="s">
        <v>1664</v>
      </c>
      <c r="T115" t="s">
        <v>1464</v>
      </c>
    </row>
    <row r="116" spans="1:20">
      <c r="A116" t="s">
        <v>261</v>
      </c>
      <c r="B116" t="s">
        <v>1979</v>
      </c>
      <c r="C116" t="s">
        <v>936</v>
      </c>
      <c r="D116" t="s">
        <v>1979</v>
      </c>
      <c r="E116" t="s">
        <v>2536</v>
      </c>
      <c r="F116" t="s">
        <v>704</v>
      </c>
      <c r="G116" t="s">
        <v>582</v>
      </c>
      <c r="H116" t="s">
        <v>3861</v>
      </c>
      <c r="I116" t="s">
        <v>3862</v>
      </c>
      <c r="J116" t="s">
        <v>982</v>
      </c>
      <c r="K116" t="s">
        <v>745</v>
      </c>
      <c r="L116" t="s">
        <v>2595</v>
      </c>
      <c r="M116" t="s">
        <v>704</v>
      </c>
      <c r="N116" t="s">
        <v>582</v>
      </c>
      <c r="O116" t="s">
        <v>3861</v>
      </c>
      <c r="P116" t="s">
        <v>3862</v>
      </c>
      <c r="Q116" t="s">
        <v>982</v>
      </c>
      <c r="R116" t="s">
        <v>745</v>
      </c>
      <c r="S116" t="s">
        <v>2595</v>
      </c>
      <c r="T116" t="s">
        <v>982</v>
      </c>
    </row>
    <row r="117" spans="1:20">
      <c r="A117" t="s">
        <v>24</v>
      </c>
      <c r="B117" t="s">
        <v>2929</v>
      </c>
      <c r="C117" t="s">
        <v>936</v>
      </c>
      <c r="D117" t="s">
        <v>2357</v>
      </c>
      <c r="E117" t="s">
        <v>2929</v>
      </c>
      <c r="F117" t="s">
        <v>959</v>
      </c>
      <c r="G117" t="s">
        <v>3092</v>
      </c>
      <c r="H117" t="s">
        <v>3396</v>
      </c>
      <c r="I117">
        <v>210.96700000000001</v>
      </c>
      <c r="J117" t="s">
        <v>1465</v>
      </c>
      <c r="K117" t="s">
        <v>755</v>
      </c>
      <c r="L117" t="s">
        <v>1673</v>
      </c>
      <c r="M117" t="s">
        <v>959</v>
      </c>
      <c r="N117" t="s">
        <v>3092</v>
      </c>
      <c r="O117" t="s">
        <v>3396</v>
      </c>
      <c r="P117">
        <v>210.96700000000001</v>
      </c>
      <c r="Q117" t="s">
        <v>1465</v>
      </c>
      <c r="R117" t="s">
        <v>755</v>
      </c>
      <c r="S117" t="s">
        <v>1673</v>
      </c>
      <c r="T117" t="s">
        <v>1984</v>
      </c>
    </row>
    <row r="118" spans="1:20">
      <c r="A118" t="s">
        <v>25</v>
      </c>
      <c r="B118" t="s">
        <v>3211</v>
      </c>
      <c r="C118" t="s">
        <v>937</v>
      </c>
      <c r="D118" t="s">
        <v>3211</v>
      </c>
      <c r="E118" t="s">
        <v>2340</v>
      </c>
      <c r="F118" t="s">
        <v>549</v>
      </c>
      <c r="G118" t="s">
        <v>3211</v>
      </c>
      <c r="H118" t="s">
        <v>3611</v>
      </c>
      <c r="I118" t="s">
        <v>3612</v>
      </c>
      <c r="J118" t="s">
        <v>549</v>
      </c>
      <c r="K118" t="s">
        <v>762</v>
      </c>
      <c r="L118" t="s">
        <v>2603</v>
      </c>
      <c r="M118" t="s">
        <v>549</v>
      </c>
      <c r="N118" t="s">
        <v>3211</v>
      </c>
      <c r="O118" t="s">
        <v>3611</v>
      </c>
      <c r="P118" t="s">
        <v>3612</v>
      </c>
      <c r="Q118" t="s">
        <v>549</v>
      </c>
      <c r="R118" t="s">
        <v>762</v>
      </c>
      <c r="S118" t="s">
        <v>2603</v>
      </c>
      <c r="T118" t="s">
        <v>549</v>
      </c>
    </row>
    <row r="119" spans="1:20">
      <c r="A119" t="s">
        <v>26</v>
      </c>
      <c r="B119" t="s">
        <v>1141</v>
      </c>
      <c r="C119" t="s">
        <v>937</v>
      </c>
      <c r="D119" t="s">
        <v>1141</v>
      </c>
      <c r="E119" t="s">
        <v>2718</v>
      </c>
      <c r="F119" t="s">
        <v>1785</v>
      </c>
      <c r="G119" t="s">
        <v>1111</v>
      </c>
      <c r="H119" t="s">
        <v>3240</v>
      </c>
      <c r="I119">
        <v>475.90300000000002</v>
      </c>
      <c r="J119" t="s">
        <v>1144</v>
      </c>
      <c r="K119" t="s">
        <v>835</v>
      </c>
      <c r="L119" t="s">
        <v>2628</v>
      </c>
      <c r="M119" t="s">
        <v>1785</v>
      </c>
      <c r="N119" t="s">
        <v>1111</v>
      </c>
      <c r="O119" t="s">
        <v>3240</v>
      </c>
      <c r="P119">
        <v>475.90300000000002</v>
      </c>
      <c r="Q119" t="s">
        <v>1144</v>
      </c>
      <c r="R119" t="s">
        <v>835</v>
      </c>
      <c r="S119" t="s">
        <v>2628</v>
      </c>
      <c r="T119" t="s">
        <v>1144</v>
      </c>
    </row>
    <row r="120" spans="1:20">
      <c r="A120" t="s">
        <v>262</v>
      </c>
      <c r="B120" t="s">
        <v>1367</v>
      </c>
      <c r="C120" t="s">
        <v>936</v>
      </c>
      <c r="D120" t="s">
        <v>1367</v>
      </c>
      <c r="E120" t="s">
        <v>2240</v>
      </c>
      <c r="F120" t="s">
        <v>2409</v>
      </c>
      <c r="G120" t="s">
        <v>1200</v>
      </c>
      <c r="H120" t="s">
        <v>3484</v>
      </c>
      <c r="I120">
        <v>848.05600000000004</v>
      </c>
      <c r="J120" t="s">
        <v>1466</v>
      </c>
      <c r="K120" t="s">
        <v>806</v>
      </c>
      <c r="L120" t="s">
        <v>1080</v>
      </c>
      <c r="M120" t="s">
        <v>2409</v>
      </c>
      <c r="N120" t="s">
        <v>1200</v>
      </c>
      <c r="O120" t="s">
        <v>3484</v>
      </c>
      <c r="P120">
        <v>848.05600000000004</v>
      </c>
      <c r="Q120" t="s">
        <v>1466</v>
      </c>
      <c r="R120" t="s">
        <v>806</v>
      </c>
      <c r="S120" t="s">
        <v>1080</v>
      </c>
      <c r="T120" t="s">
        <v>1092</v>
      </c>
    </row>
    <row r="121" spans="1:20">
      <c r="A121" t="s">
        <v>263</v>
      </c>
      <c r="B121" t="s">
        <v>3212</v>
      </c>
      <c r="C121" t="s">
        <v>937</v>
      </c>
      <c r="D121" t="s">
        <v>3212</v>
      </c>
      <c r="E121" t="s">
        <v>3220</v>
      </c>
      <c r="F121" t="s">
        <v>1986</v>
      </c>
      <c r="G121" t="s">
        <v>3212</v>
      </c>
      <c r="H121" t="s">
        <v>3525</v>
      </c>
      <c r="I121">
        <v>355.709</v>
      </c>
      <c r="J121" t="s">
        <v>1467</v>
      </c>
      <c r="K121" t="s">
        <v>3113</v>
      </c>
      <c r="L121" t="s">
        <v>2679</v>
      </c>
      <c r="M121" t="s">
        <v>1986</v>
      </c>
      <c r="N121" t="s">
        <v>3212</v>
      </c>
      <c r="O121" t="s">
        <v>3525</v>
      </c>
      <c r="P121">
        <v>355.709</v>
      </c>
      <c r="Q121" t="s">
        <v>1467</v>
      </c>
      <c r="R121" t="s">
        <v>3113</v>
      </c>
      <c r="S121" t="s">
        <v>2679</v>
      </c>
      <c r="T121" t="s">
        <v>1467</v>
      </c>
    </row>
    <row r="122" spans="1:20">
      <c r="A122" t="s">
        <v>264</v>
      </c>
      <c r="B122" t="s">
        <v>3142</v>
      </c>
      <c r="C122" t="s">
        <v>936</v>
      </c>
      <c r="D122" t="s">
        <v>3142</v>
      </c>
      <c r="E122" t="s">
        <v>3141</v>
      </c>
      <c r="F122" t="s">
        <v>2218</v>
      </c>
      <c r="G122" t="s">
        <v>2161</v>
      </c>
      <c r="H122" t="s">
        <v>3711</v>
      </c>
      <c r="I122">
        <v>739.52499999999998</v>
      </c>
      <c r="J122" t="s">
        <v>1155</v>
      </c>
      <c r="K122" t="s">
        <v>2906</v>
      </c>
      <c r="L122" t="s">
        <v>843</v>
      </c>
      <c r="M122" t="s">
        <v>2218</v>
      </c>
      <c r="N122" t="s">
        <v>2161</v>
      </c>
      <c r="O122" t="s">
        <v>3711</v>
      </c>
      <c r="P122">
        <v>739.52499999999998</v>
      </c>
      <c r="Q122" t="s">
        <v>1155</v>
      </c>
      <c r="R122" t="s">
        <v>2906</v>
      </c>
      <c r="S122" t="s">
        <v>843</v>
      </c>
      <c r="T122" t="s">
        <v>1859</v>
      </c>
    </row>
    <row r="123" spans="1:20">
      <c r="A123" t="s">
        <v>425</v>
      </c>
      <c r="B123" t="s">
        <v>2219</v>
      </c>
      <c r="C123" t="s">
        <v>936</v>
      </c>
      <c r="D123" t="s">
        <v>2219</v>
      </c>
      <c r="F123" t="s">
        <v>2219</v>
      </c>
      <c r="G123" t="s">
        <v>512</v>
      </c>
      <c r="H123" t="s">
        <v>3787</v>
      </c>
      <c r="I123" t="s">
        <v>3136</v>
      </c>
      <c r="J123" t="s">
        <v>1396</v>
      </c>
      <c r="K123" t="s">
        <v>1046</v>
      </c>
      <c r="L123" t="s">
        <v>1952</v>
      </c>
      <c r="M123" t="s">
        <v>2219</v>
      </c>
      <c r="N123" t="s">
        <v>512</v>
      </c>
      <c r="O123" t="s">
        <v>3787</v>
      </c>
      <c r="P123" t="s">
        <v>3136</v>
      </c>
      <c r="Q123" t="s">
        <v>1396</v>
      </c>
      <c r="R123" t="s">
        <v>1046</v>
      </c>
      <c r="S123" t="s">
        <v>1952</v>
      </c>
      <c r="T123" t="s">
        <v>1396</v>
      </c>
    </row>
    <row r="124" spans="1:20">
      <c r="A124" t="s">
        <v>27</v>
      </c>
      <c r="B124" t="s">
        <v>2282</v>
      </c>
      <c r="C124" t="s">
        <v>937</v>
      </c>
      <c r="D124" t="s">
        <v>1419</v>
      </c>
      <c r="E124" t="s">
        <v>2282</v>
      </c>
      <c r="F124" t="s">
        <v>1987</v>
      </c>
      <c r="G124" t="s">
        <v>1988</v>
      </c>
      <c r="H124" t="s">
        <v>3438</v>
      </c>
      <c r="I124" t="s">
        <v>3439</v>
      </c>
      <c r="J124" t="s">
        <v>1469</v>
      </c>
      <c r="K124" t="s">
        <v>795</v>
      </c>
      <c r="L124" t="s">
        <v>1047</v>
      </c>
      <c r="M124" t="s">
        <v>1987</v>
      </c>
      <c r="N124" t="s">
        <v>1988</v>
      </c>
      <c r="O124" t="s">
        <v>3438</v>
      </c>
      <c r="P124" t="s">
        <v>3439</v>
      </c>
      <c r="Q124" t="s">
        <v>1469</v>
      </c>
      <c r="R124" t="s">
        <v>795</v>
      </c>
      <c r="S124" t="s">
        <v>1047</v>
      </c>
      <c r="T124" t="s">
        <v>1988</v>
      </c>
    </row>
    <row r="125" spans="1:20">
      <c r="A125" t="s">
        <v>265</v>
      </c>
      <c r="B125" t="s">
        <v>3179</v>
      </c>
      <c r="C125" t="s">
        <v>936</v>
      </c>
      <c r="D125" t="s">
        <v>3112</v>
      </c>
      <c r="E125" t="s">
        <v>3179</v>
      </c>
      <c r="F125" t="s">
        <v>563</v>
      </c>
      <c r="G125" t="s">
        <v>2221</v>
      </c>
      <c r="H125" t="s">
        <v>3712</v>
      </c>
      <c r="I125" t="s">
        <v>3713</v>
      </c>
      <c r="J125" t="s">
        <v>652</v>
      </c>
      <c r="K125" t="s">
        <v>911</v>
      </c>
      <c r="L125" t="s">
        <v>2484</v>
      </c>
      <c r="M125" t="s">
        <v>563</v>
      </c>
      <c r="N125" t="s">
        <v>2221</v>
      </c>
      <c r="O125" t="s">
        <v>3712</v>
      </c>
      <c r="P125" t="s">
        <v>3713</v>
      </c>
      <c r="Q125" t="s">
        <v>652</v>
      </c>
      <c r="R125" t="s">
        <v>911</v>
      </c>
      <c r="S125" t="s">
        <v>2484</v>
      </c>
      <c r="T125" t="s">
        <v>1380</v>
      </c>
    </row>
    <row r="126" spans="1:20">
      <c r="A126" t="s">
        <v>28</v>
      </c>
      <c r="B126" t="s">
        <v>2381</v>
      </c>
      <c r="C126" t="s">
        <v>936</v>
      </c>
      <c r="D126" t="s">
        <v>1990</v>
      </c>
      <c r="E126" t="s">
        <v>2381</v>
      </c>
      <c r="F126" t="s">
        <v>1835</v>
      </c>
      <c r="G126" t="s">
        <v>1146</v>
      </c>
      <c r="H126" t="s">
        <v>3647</v>
      </c>
      <c r="I126" t="s">
        <v>3648</v>
      </c>
      <c r="J126" t="s">
        <v>1146</v>
      </c>
      <c r="K126" t="s">
        <v>759</v>
      </c>
      <c r="L126" t="s">
        <v>2274</v>
      </c>
      <c r="M126" t="s">
        <v>1835</v>
      </c>
      <c r="N126" t="s">
        <v>1146</v>
      </c>
      <c r="O126" t="s">
        <v>3647</v>
      </c>
      <c r="P126" t="s">
        <v>3648</v>
      </c>
      <c r="Q126" t="s">
        <v>1146</v>
      </c>
      <c r="R126" t="s">
        <v>759</v>
      </c>
      <c r="S126" t="s">
        <v>2274</v>
      </c>
      <c r="T126" t="s">
        <v>1146</v>
      </c>
    </row>
    <row r="127" spans="1:20">
      <c r="A127" t="s">
        <v>29</v>
      </c>
      <c r="B127" t="s">
        <v>2390</v>
      </c>
      <c r="C127" t="s">
        <v>937</v>
      </c>
      <c r="D127" t="s">
        <v>2390</v>
      </c>
      <c r="E127" t="s">
        <v>1817</v>
      </c>
      <c r="F127" t="s">
        <v>988</v>
      </c>
      <c r="G127" t="s">
        <v>1991</v>
      </c>
      <c r="H127" t="s">
        <v>3305</v>
      </c>
      <c r="I127" t="s">
        <v>3306</v>
      </c>
      <c r="J127" t="s">
        <v>917</v>
      </c>
      <c r="K127" t="s">
        <v>839</v>
      </c>
      <c r="L127" t="s">
        <v>2612</v>
      </c>
      <c r="M127" t="s">
        <v>988</v>
      </c>
      <c r="N127" t="s">
        <v>1991</v>
      </c>
      <c r="O127" t="s">
        <v>3305</v>
      </c>
      <c r="P127" t="s">
        <v>3306</v>
      </c>
      <c r="Q127" t="s">
        <v>917</v>
      </c>
      <c r="R127" t="s">
        <v>839</v>
      </c>
      <c r="S127" t="s">
        <v>2612</v>
      </c>
      <c r="T127" t="s">
        <v>723</v>
      </c>
    </row>
    <row r="128" spans="1:20">
      <c r="A128" t="s">
        <v>266</v>
      </c>
      <c r="B128" t="s">
        <v>2783</v>
      </c>
      <c r="C128" t="s">
        <v>936</v>
      </c>
      <c r="D128" t="s">
        <v>3005</v>
      </c>
      <c r="E128" t="s">
        <v>2783</v>
      </c>
      <c r="F128" t="s">
        <v>539</v>
      </c>
      <c r="G128" t="s">
        <v>1071</v>
      </c>
      <c r="H128" t="s">
        <v>3742</v>
      </c>
      <c r="I128" t="s">
        <v>3743</v>
      </c>
      <c r="J128" t="s">
        <v>688</v>
      </c>
      <c r="K128" t="s">
        <v>873</v>
      </c>
      <c r="L128" t="s">
        <v>809</v>
      </c>
      <c r="M128" t="s">
        <v>539</v>
      </c>
      <c r="N128" t="s">
        <v>1071</v>
      </c>
      <c r="O128" t="s">
        <v>3742</v>
      </c>
      <c r="P128" t="s">
        <v>3743</v>
      </c>
      <c r="Q128" t="s">
        <v>688</v>
      </c>
      <c r="R128" t="s">
        <v>873</v>
      </c>
      <c r="S128" t="s">
        <v>809</v>
      </c>
      <c r="T128" t="s">
        <v>688</v>
      </c>
    </row>
    <row r="129" spans="1:20">
      <c r="A129" t="s">
        <v>426</v>
      </c>
      <c r="B129" t="s">
        <v>1612</v>
      </c>
      <c r="C129" t="s">
        <v>937</v>
      </c>
      <c r="D129" t="s">
        <v>2559</v>
      </c>
      <c r="E129" t="s">
        <v>1612</v>
      </c>
      <c r="F129" t="s">
        <v>1083</v>
      </c>
      <c r="G129" t="s">
        <v>697</v>
      </c>
      <c r="H129" t="s">
        <v>3382</v>
      </c>
      <c r="I129">
        <v>288.62400000000002</v>
      </c>
      <c r="J129" t="s">
        <v>1097</v>
      </c>
      <c r="K129" t="s">
        <v>848</v>
      </c>
      <c r="L129" t="s">
        <v>1787</v>
      </c>
      <c r="M129" t="s">
        <v>1083</v>
      </c>
      <c r="N129" t="s">
        <v>697</v>
      </c>
      <c r="O129" t="s">
        <v>3382</v>
      </c>
      <c r="P129">
        <v>288.62400000000002</v>
      </c>
      <c r="Q129" t="s">
        <v>1097</v>
      </c>
      <c r="R129" t="s">
        <v>848</v>
      </c>
      <c r="S129" t="s">
        <v>1787</v>
      </c>
      <c r="T129" t="s">
        <v>1097</v>
      </c>
    </row>
    <row r="130" spans="1:20">
      <c r="A130" t="s">
        <v>30</v>
      </c>
      <c r="B130" t="s">
        <v>1346</v>
      </c>
      <c r="C130" t="s">
        <v>936</v>
      </c>
      <c r="D130" t="s">
        <v>2972</v>
      </c>
      <c r="E130" t="s">
        <v>1346</v>
      </c>
      <c r="F130" t="s">
        <v>1301</v>
      </c>
      <c r="G130" t="s">
        <v>1082</v>
      </c>
      <c r="H130" t="s">
        <v>3504</v>
      </c>
      <c r="I130" t="s">
        <v>3505</v>
      </c>
      <c r="J130" t="s">
        <v>1304</v>
      </c>
      <c r="K130" t="s">
        <v>1255</v>
      </c>
      <c r="L130" t="s">
        <v>2741</v>
      </c>
      <c r="M130" t="s">
        <v>1301</v>
      </c>
      <c r="N130" t="s">
        <v>1082</v>
      </c>
      <c r="O130" t="s">
        <v>3504</v>
      </c>
      <c r="P130" t="s">
        <v>3505</v>
      </c>
      <c r="Q130" t="s">
        <v>1304</v>
      </c>
      <c r="R130" t="s">
        <v>1255</v>
      </c>
      <c r="S130" t="s">
        <v>2741</v>
      </c>
      <c r="T130" t="s">
        <v>627</v>
      </c>
    </row>
    <row r="131" spans="1:20">
      <c r="A131" t="s">
        <v>31</v>
      </c>
      <c r="B131" t="s">
        <v>2408</v>
      </c>
      <c r="C131" t="s">
        <v>937</v>
      </c>
      <c r="D131" t="s">
        <v>2408</v>
      </c>
      <c r="E131" t="s">
        <v>2555</v>
      </c>
      <c r="F131" t="s">
        <v>1723</v>
      </c>
      <c r="G131" t="s">
        <v>2408</v>
      </c>
      <c r="H131" t="s">
        <v>3649</v>
      </c>
      <c r="I131">
        <v>915.89200000000005</v>
      </c>
      <c r="J131" t="s">
        <v>1143</v>
      </c>
      <c r="K131" t="s">
        <v>2563</v>
      </c>
      <c r="L131" t="s">
        <v>2884</v>
      </c>
      <c r="M131" t="s">
        <v>1723</v>
      </c>
      <c r="N131" t="s">
        <v>2408</v>
      </c>
      <c r="O131" t="s">
        <v>3649</v>
      </c>
      <c r="P131">
        <v>915.89200000000005</v>
      </c>
      <c r="Q131" t="s">
        <v>1143</v>
      </c>
      <c r="R131" t="s">
        <v>2563</v>
      </c>
      <c r="S131" t="s">
        <v>2884</v>
      </c>
      <c r="T131" t="s">
        <v>1143</v>
      </c>
    </row>
    <row r="132" spans="1:20">
      <c r="A132" t="s">
        <v>32</v>
      </c>
      <c r="B132" t="s">
        <v>2638</v>
      </c>
      <c r="C132" t="s">
        <v>937</v>
      </c>
      <c r="D132" t="s">
        <v>2660</v>
      </c>
      <c r="E132" t="s">
        <v>2638</v>
      </c>
      <c r="F132" t="s">
        <v>1344</v>
      </c>
      <c r="G132" t="s">
        <v>2120</v>
      </c>
      <c r="H132" t="s">
        <v>3744</v>
      </c>
      <c r="I132" t="s">
        <v>3745</v>
      </c>
      <c r="J132" t="s">
        <v>1221</v>
      </c>
      <c r="K132" t="s">
        <v>872</v>
      </c>
      <c r="L132" t="s">
        <v>2647</v>
      </c>
      <c r="M132" t="s">
        <v>1344</v>
      </c>
      <c r="N132" t="s">
        <v>2120</v>
      </c>
      <c r="O132" t="s">
        <v>3744</v>
      </c>
      <c r="P132" t="s">
        <v>3745</v>
      </c>
      <c r="Q132" t="s">
        <v>1221</v>
      </c>
      <c r="R132" t="s">
        <v>872</v>
      </c>
      <c r="S132" t="s">
        <v>2647</v>
      </c>
      <c r="T132" t="s">
        <v>1993</v>
      </c>
    </row>
    <row r="133" spans="1:20">
      <c r="A133" t="s">
        <v>33</v>
      </c>
      <c r="B133" t="s">
        <v>1544</v>
      </c>
      <c r="C133" t="s">
        <v>937</v>
      </c>
      <c r="D133" t="s">
        <v>1544</v>
      </c>
      <c r="E133" t="s">
        <v>2439</v>
      </c>
      <c r="F133" t="s">
        <v>2303</v>
      </c>
      <c r="G133" t="s">
        <v>1744</v>
      </c>
      <c r="H133" t="s">
        <v>3307</v>
      </c>
      <c r="I133">
        <v>328.09199999999998</v>
      </c>
      <c r="J133" t="s">
        <v>561</v>
      </c>
      <c r="K133" t="s">
        <v>795</v>
      </c>
      <c r="L133" t="s">
        <v>952</v>
      </c>
      <c r="M133" t="s">
        <v>2303</v>
      </c>
      <c r="N133" t="s">
        <v>1744</v>
      </c>
      <c r="O133" t="s">
        <v>3307</v>
      </c>
      <c r="P133">
        <v>328.09199999999998</v>
      </c>
      <c r="Q133" t="s">
        <v>561</v>
      </c>
      <c r="R133" t="s">
        <v>795</v>
      </c>
      <c r="S133" t="s">
        <v>952</v>
      </c>
      <c r="T133" t="s">
        <v>561</v>
      </c>
    </row>
    <row r="134" spans="1:20">
      <c r="A134" t="s">
        <v>34</v>
      </c>
      <c r="B134" t="s">
        <v>3140</v>
      </c>
      <c r="C134" t="s">
        <v>936</v>
      </c>
      <c r="D134" t="s">
        <v>3140</v>
      </c>
      <c r="E134" t="s">
        <v>3179</v>
      </c>
      <c r="F134" t="s">
        <v>1776</v>
      </c>
      <c r="G134" t="s">
        <v>728</v>
      </c>
      <c r="H134" t="s">
        <v>3424</v>
      </c>
      <c r="I134">
        <v>486.62</v>
      </c>
      <c r="J134" t="s">
        <v>1448</v>
      </c>
      <c r="K134" t="s">
        <v>775</v>
      </c>
      <c r="L134" t="s">
        <v>2625</v>
      </c>
      <c r="M134" t="s">
        <v>1776</v>
      </c>
      <c r="N134" t="s">
        <v>728</v>
      </c>
      <c r="O134" t="s">
        <v>3424</v>
      </c>
      <c r="P134">
        <v>486.62</v>
      </c>
      <c r="Q134" t="s">
        <v>1448</v>
      </c>
      <c r="R134" t="s">
        <v>775</v>
      </c>
      <c r="S134" t="s">
        <v>2625</v>
      </c>
      <c r="T134" t="s">
        <v>1455</v>
      </c>
    </row>
    <row r="135" spans="1:20">
      <c r="A135" t="s">
        <v>267</v>
      </c>
      <c r="B135" t="s">
        <v>683</v>
      </c>
      <c r="C135" t="s">
        <v>937</v>
      </c>
      <c r="D135" t="s">
        <v>2710</v>
      </c>
      <c r="E135" t="s">
        <v>683</v>
      </c>
      <c r="F135" t="s">
        <v>2747</v>
      </c>
      <c r="G135" t="s">
        <v>1994</v>
      </c>
      <c r="H135" t="s">
        <v>3613</v>
      </c>
      <c r="I135" t="s">
        <v>3614</v>
      </c>
      <c r="J135" t="s">
        <v>674</v>
      </c>
      <c r="K135" t="s">
        <v>805</v>
      </c>
      <c r="L135" t="s">
        <v>670</v>
      </c>
      <c r="M135" t="s">
        <v>2747</v>
      </c>
      <c r="N135" t="s">
        <v>1994</v>
      </c>
      <c r="O135" t="s">
        <v>3613</v>
      </c>
      <c r="P135" t="s">
        <v>3614</v>
      </c>
      <c r="Q135" t="s">
        <v>674</v>
      </c>
      <c r="R135" t="s">
        <v>805</v>
      </c>
      <c r="S135" t="s">
        <v>670</v>
      </c>
      <c r="T135" t="s">
        <v>1994</v>
      </c>
    </row>
    <row r="136" spans="1:20">
      <c r="A136" t="s">
        <v>35</v>
      </c>
      <c r="B136" t="s">
        <v>1629</v>
      </c>
      <c r="C136" t="s">
        <v>936</v>
      </c>
      <c r="D136" t="s">
        <v>1087</v>
      </c>
      <c r="E136" t="s">
        <v>1629</v>
      </c>
      <c r="F136" t="s">
        <v>2192</v>
      </c>
      <c r="G136" t="s">
        <v>1995</v>
      </c>
      <c r="H136" t="s">
        <v>3241</v>
      </c>
      <c r="I136">
        <v>804.87099999999998</v>
      </c>
      <c r="J136" t="s">
        <v>1296</v>
      </c>
      <c r="K136" t="s">
        <v>931</v>
      </c>
      <c r="L136" t="s">
        <v>2586</v>
      </c>
      <c r="M136" t="s">
        <v>2192</v>
      </c>
      <c r="N136" t="s">
        <v>1995</v>
      </c>
      <c r="O136" t="s">
        <v>3241</v>
      </c>
      <c r="P136">
        <v>804.87099999999998</v>
      </c>
      <c r="Q136" t="s">
        <v>1296</v>
      </c>
      <c r="R136" t="s">
        <v>931</v>
      </c>
      <c r="S136" t="s">
        <v>2586</v>
      </c>
      <c r="T136" t="s">
        <v>1064</v>
      </c>
    </row>
    <row r="137" spans="1:20">
      <c r="A137" t="s">
        <v>268</v>
      </c>
      <c r="B137" t="s">
        <v>2955</v>
      </c>
      <c r="C137" t="s">
        <v>937</v>
      </c>
      <c r="D137" t="s">
        <v>2955</v>
      </c>
      <c r="E137" t="s">
        <v>999</v>
      </c>
      <c r="F137" t="s">
        <v>899</v>
      </c>
      <c r="G137" t="s">
        <v>2059</v>
      </c>
      <c r="H137" t="s">
        <v>3425</v>
      </c>
      <c r="I137" t="s">
        <v>3426</v>
      </c>
      <c r="J137" t="s">
        <v>1471</v>
      </c>
      <c r="K137" t="s">
        <v>837</v>
      </c>
      <c r="L137" t="s">
        <v>767</v>
      </c>
      <c r="M137" t="s">
        <v>899</v>
      </c>
      <c r="N137" t="s">
        <v>2059</v>
      </c>
      <c r="O137" t="s">
        <v>3425</v>
      </c>
      <c r="P137" t="s">
        <v>3426</v>
      </c>
      <c r="Q137" t="s">
        <v>1471</v>
      </c>
      <c r="R137" t="s">
        <v>837</v>
      </c>
      <c r="S137" t="s">
        <v>767</v>
      </c>
      <c r="T137" t="s">
        <v>1471</v>
      </c>
    </row>
    <row r="138" spans="1:20">
      <c r="A138" t="s">
        <v>36</v>
      </c>
      <c r="B138" t="s">
        <v>1137</v>
      </c>
      <c r="C138" t="s">
        <v>936</v>
      </c>
      <c r="D138" t="s">
        <v>1137</v>
      </c>
      <c r="F138" t="s">
        <v>1137</v>
      </c>
      <c r="G138" t="s">
        <v>1070</v>
      </c>
      <c r="H138" t="s">
        <v>3308</v>
      </c>
      <c r="I138" t="s">
        <v>3309</v>
      </c>
      <c r="J138" t="s">
        <v>1318</v>
      </c>
      <c r="K138" t="s">
        <v>889</v>
      </c>
      <c r="L138" t="s">
        <v>1963</v>
      </c>
      <c r="M138" t="s">
        <v>1137</v>
      </c>
      <c r="N138" t="s">
        <v>1070</v>
      </c>
      <c r="O138" t="s">
        <v>3308</v>
      </c>
      <c r="P138" t="s">
        <v>3309</v>
      </c>
      <c r="Q138" t="s">
        <v>1318</v>
      </c>
      <c r="R138" t="s">
        <v>889</v>
      </c>
      <c r="S138" t="s">
        <v>1963</v>
      </c>
      <c r="T138" t="s">
        <v>1318</v>
      </c>
    </row>
    <row r="139" spans="1:20">
      <c r="A139" t="s">
        <v>269</v>
      </c>
      <c r="B139" t="s">
        <v>2939</v>
      </c>
      <c r="C139" t="s">
        <v>937</v>
      </c>
      <c r="D139" t="s">
        <v>2769</v>
      </c>
      <c r="E139" t="s">
        <v>2939</v>
      </c>
      <c r="F139" t="s">
        <v>2223</v>
      </c>
      <c r="G139" t="s">
        <v>1996</v>
      </c>
      <c r="H139" t="s">
        <v>3485</v>
      </c>
      <c r="I139" t="s">
        <v>3486</v>
      </c>
      <c r="J139" t="s">
        <v>976</v>
      </c>
      <c r="K139" t="s">
        <v>1611</v>
      </c>
      <c r="L139" t="s">
        <v>2343</v>
      </c>
      <c r="M139" t="s">
        <v>2223</v>
      </c>
      <c r="N139" t="s">
        <v>1996</v>
      </c>
      <c r="O139" t="s">
        <v>3485</v>
      </c>
      <c r="P139" t="s">
        <v>3486</v>
      </c>
      <c r="Q139" t="s">
        <v>976</v>
      </c>
      <c r="R139" t="s">
        <v>1611</v>
      </c>
      <c r="S139" t="s">
        <v>2343</v>
      </c>
      <c r="T139" t="s">
        <v>976</v>
      </c>
    </row>
    <row r="140" spans="1:20">
      <c r="A140" t="s">
        <v>37</v>
      </c>
      <c r="B140" t="s">
        <v>3208</v>
      </c>
      <c r="C140" t="s">
        <v>937</v>
      </c>
      <c r="D140" t="s">
        <v>3213</v>
      </c>
      <c r="E140" t="s">
        <v>3208</v>
      </c>
      <c r="F140" t="s">
        <v>1633</v>
      </c>
      <c r="G140" t="s">
        <v>3208</v>
      </c>
      <c r="H140" t="s">
        <v>3967</v>
      </c>
      <c r="I140" t="s">
        <v>3968</v>
      </c>
      <c r="J140" t="s">
        <v>1156</v>
      </c>
      <c r="K140" t="s">
        <v>2828</v>
      </c>
      <c r="L140" t="s">
        <v>3029</v>
      </c>
      <c r="M140" t="s">
        <v>1633</v>
      </c>
      <c r="N140" t="s">
        <v>3208</v>
      </c>
      <c r="O140" t="s">
        <v>3967</v>
      </c>
      <c r="P140" t="s">
        <v>3968</v>
      </c>
      <c r="Q140" t="s">
        <v>1156</v>
      </c>
      <c r="R140" t="s">
        <v>2828</v>
      </c>
      <c r="S140" t="s">
        <v>3029</v>
      </c>
      <c r="T140" t="s">
        <v>1633</v>
      </c>
    </row>
    <row r="141" spans="1:20">
      <c r="A141" t="s">
        <v>38</v>
      </c>
      <c r="B141" t="s">
        <v>2609</v>
      </c>
      <c r="C141" t="s">
        <v>937</v>
      </c>
      <c r="D141" t="s">
        <v>2151</v>
      </c>
      <c r="E141" t="s">
        <v>2609</v>
      </c>
      <c r="F141" t="s">
        <v>2448</v>
      </c>
      <c r="G141" t="s">
        <v>1211</v>
      </c>
      <c r="H141" t="s">
        <v>3310</v>
      </c>
      <c r="I141">
        <v>266.40699999999998</v>
      </c>
      <c r="J141" t="s">
        <v>1475</v>
      </c>
      <c r="K141" t="s">
        <v>2472</v>
      </c>
      <c r="L141" t="s">
        <v>2610</v>
      </c>
      <c r="M141" t="s">
        <v>2448</v>
      </c>
      <c r="N141" t="s">
        <v>1211</v>
      </c>
      <c r="O141" t="s">
        <v>3310</v>
      </c>
      <c r="P141">
        <v>266.40699999999998</v>
      </c>
      <c r="Q141" t="s">
        <v>1475</v>
      </c>
      <c r="R141" t="s">
        <v>2472</v>
      </c>
      <c r="S141" t="s">
        <v>2610</v>
      </c>
      <c r="T141" t="s">
        <v>1854</v>
      </c>
    </row>
    <row r="142" spans="1:20">
      <c r="A142" t="s">
        <v>39</v>
      </c>
      <c r="B142" t="s">
        <v>3214</v>
      </c>
      <c r="C142" t="s">
        <v>936</v>
      </c>
      <c r="D142" t="s">
        <v>2993</v>
      </c>
      <c r="E142" t="s">
        <v>3214</v>
      </c>
      <c r="F142" t="s">
        <v>3214</v>
      </c>
      <c r="G142" t="s">
        <v>1997</v>
      </c>
      <c r="H142" t="s">
        <v>3714</v>
      </c>
      <c r="I142">
        <v>8.8160000000000007</v>
      </c>
      <c r="J142" t="s">
        <v>1478</v>
      </c>
      <c r="K142" t="s">
        <v>3143</v>
      </c>
      <c r="L142" t="s">
        <v>860</v>
      </c>
      <c r="M142" t="s">
        <v>3214</v>
      </c>
      <c r="N142" t="s">
        <v>1997</v>
      </c>
      <c r="O142" t="s">
        <v>3714</v>
      </c>
      <c r="P142">
        <v>8.8160000000000007</v>
      </c>
      <c r="Q142" t="s">
        <v>1478</v>
      </c>
      <c r="R142" t="s">
        <v>3143</v>
      </c>
      <c r="S142" t="s">
        <v>860</v>
      </c>
      <c r="T142" t="s">
        <v>1998</v>
      </c>
    </row>
    <row r="143" spans="1:20">
      <c r="A143" t="s">
        <v>270</v>
      </c>
      <c r="B143" t="s">
        <v>3110</v>
      </c>
      <c r="C143" t="s">
        <v>937</v>
      </c>
      <c r="D143" t="s">
        <v>3110</v>
      </c>
      <c r="E143" t="s">
        <v>2559</v>
      </c>
      <c r="F143" t="s">
        <v>1796</v>
      </c>
      <c r="G143" t="s">
        <v>3110</v>
      </c>
      <c r="H143" t="s">
        <v>3863</v>
      </c>
      <c r="I143" t="s">
        <v>3864</v>
      </c>
      <c r="J143" t="s">
        <v>1188</v>
      </c>
      <c r="K143" t="s">
        <v>2341</v>
      </c>
      <c r="L143" t="s">
        <v>3151</v>
      </c>
      <c r="M143" t="s">
        <v>1796</v>
      </c>
      <c r="N143" t="s">
        <v>3110</v>
      </c>
      <c r="O143" t="s">
        <v>3863</v>
      </c>
      <c r="P143" t="s">
        <v>3864</v>
      </c>
      <c r="Q143" t="s">
        <v>1188</v>
      </c>
      <c r="R143" t="s">
        <v>2341</v>
      </c>
      <c r="S143" t="s">
        <v>3151</v>
      </c>
      <c r="T143" t="s">
        <v>717</v>
      </c>
    </row>
    <row r="144" spans="1:20">
      <c r="A144" t="s">
        <v>40</v>
      </c>
      <c r="B144" t="s">
        <v>2727</v>
      </c>
      <c r="C144" t="s">
        <v>936</v>
      </c>
      <c r="D144" t="s">
        <v>2486</v>
      </c>
      <c r="E144" t="s">
        <v>2727</v>
      </c>
      <c r="F144" t="s">
        <v>2843</v>
      </c>
      <c r="G144" t="s">
        <v>1999</v>
      </c>
      <c r="H144" t="s">
        <v>3865</v>
      </c>
      <c r="I144" t="s">
        <v>3866</v>
      </c>
      <c r="J144" t="s">
        <v>1199</v>
      </c>
      <c r="K144" t="s">
        <v>1012</v>
      </c>
      <c r="L144" t="s">
        <v>2728</v>
      </c>
      <c r="M144" t="s">
        <v>2843</v>
      </c>
      <c r="N144" t="s">
        <v>1999</v>
      </c>
      <c r="O144" t="s">
        <v>3865</v>
      </c>
      <c r="P144" t="s">
        <v>3866</v>
      </c>
      <c r="Q144" t="s">
        <v>1199</v>
      </c>
      <c r="R144" t="s">
        <v>1012</v>
      </c>
      <c r="S144" t="s">
        <v>2728</v>
      </c>
      <c r="T144" t="s">
        <v>1199</v>
      </c>
    </row>
    <row r="145" spans="1:20">
      <c r="A145" t="s">
        <v>41</v>
      </c>
      <c r="B145" t="s">
        <v>674</v>
      </c>
      <c r="C145" t="s">
        <v>937</v>
      </c>
      <c r="D145" t="s">
        <v>578</v>
      </c>
      <c r="E145" t="s">
        <v>674</v>
      </c>
      <c r="F145" t="s">
        <v>591</v>
      </c>
      <c r="G145" t="s">
        <v>2083</v>
      </c>
      <c r="H145" t="s">
        <v>4101</v>
      </c>
      <c r="I145" t="s">
        <v>4080</v>
      </c>
      <c r="J145" t="s">
        <v>1006</v>
      </c>
      <c r="K145" t="s">
        <v>758</v>
      </c>
      <c r="L145" t="s">
        <v>861</v>
      </c>
      <c r="M145" t="s">
        <v>591</v>
      </c>
      <c r="N145" t="s">
        <v>2083</v>
      </c>
      <c r="O145" t="s">
        <v>4101</v>
      </c>
      <c r="P145" t="s">
        <v>4080</v>
      </c>
      <c r="Q145" t="s">
        <v>1006</v>
      </c>
      <c r="R145" t="s">
        <v>758</v>
      </c>
      <c r="S145" t="s">
        <v>861</v>
      </c>
      <c r="T145" t="s">
        <v>1319</v>
      </c>
    </row>
    <row r="146" spans="1:20">
      <c r="A146" t="s">
        <v>271</v>
      </c>
      <c r="B146" t="s">
        <v>2356</v>
      </c>
      <c r="C146" t="s">
        <v>936</v>
      </c>
      <c r="D146" t="s">
        <v>2356</v>
      </c>
      <c r="E146" t="s">
        <v>1301</v>
      </c>
      <c r="F146" t="s">
        <v>1274</v>
      </c>
      <c r="G146" t="s">
        <v>1350</v>
      </c>
      <c r="H146" t="s">
        <v>3487</v>
      </c>
      <c r="I146">
        <v>537.36199999999997</v>
      </c>
      <c r="J146" t="s">
        <v>1346</v>
      </c>
      <c r="K146" t="s">
        <v>846</v>
      </c>
      <c r="L146" t="s">
        <v>2487</v>
      </c>
      <c r="M146" t="s">
        <v>1274</v>
      </c>
      <c r="N146" t="s">
        <v>1350</v>
      </c>
      <c r="O146" t="s">
        <v>3487</v>
      </c>
      <c r="P146">
        <v>537.36199999999997</v>
      </c>
      <c r="Q146" t="s">
        <v>1346</v>
      </c>
      <c r="R146" t="s">
        <v>846</v>
      </c>
      <c r="S146" t="s">
        <v>2487</v>
      </c>
      <c r="T146" t="s">
        <v>1350</v>
      </c>
    </row>
    <row r="147" spans="1:20">
      <c r="A147" t="s">
        <v>42</v>
      </c>
      <c r="B147" t="s">
        <v>2510</v>
      </c>
      <c r="C147" t="s">
        <v>937</v>
      </c>
      <c r="D147" t="s">
        <v>2861</v>
      </c>
      <c r="E147" t="s">
        <v>2510</v>
      </c>
      <c r="F147" t="s">
        <v>2231</v>
      </c>
      <c r="G147" t="s">
        <v>855</v>
      </c>
      <c r="H147" t="s">
        <v>3969</v>
      </c>
      <c r="I147">
        <v>748.83299999999997</v>
      </c>
      <c r="J147" t="s">
        <v>1290</v>
      </c>
      <c r="K147" t="s">
        <v>880</v>
      </c>
      <c r="L147" t="s">
        <v>1618</v>
      </c>
      <c r="M147" t="s">
        <v>2231</v>
      </c>
      <c r="N147" t="s">
        <v>855</v>
      </c>
      <c r="O147" t="s">
        <v>3969</v>
      </c>
      <c r="P147">
        <v>748.83299999999997</v>
      </c>
      <c r="Q147" t="s">
        <v>1290</v>
      </c>
      <c r="R147" t="s">
        <v>880</v>
      </c>
      <c r="S147" t="s">
        <v>1618</v>
      </c>
      <c r="T147" t="s">
        <v>542</v>
      </c>
    </row>
    <row r="148" spans="1:20">
      <c r="A148" t="s">
        <v>43</v>
      </c>
      <c r="B148" t="s">
        <v>621</v>
      </c>
      <c r="C148" t="s">
        <v>936</v>
      </c>
      <c r="D148" t="s">
        <v>621</v>
      </c>
      <c r="E148" t="s">
        <v>2775</v>
      </c>
      <c r="F148" t="s">
        <v>1100</v>
      </c>
      <c r="G148" t="s">
        <v>1638</v>
      </c>
      <c r="H148" t="s">
        <v>3715</v>
      </c>
      <c r="I148">
        <v>744.18299999999999</v>
      </c>
      <c r="J148" t="s">
        <v>1337</v>
      </c>
      <c r="K148" t="s">
        <v>2506</v>
      </c>
      <c r="L148" t="s">
        <v>2562</v>
      </c>
      <c r="M148" t="s">
        <v>1100</v>
      </c>
      <c r="N148" t="s">
        <v>1638</v>
      </c>
      <c r="O148" t="s">
        <v>3715</v>
      </c>
      <c r="P148">
        <v>744.18299999999999</v>
      </c>
      <c r="Q148" t="s">
        <v>1337</v>
      </c>
      <c r="R148" t="s">
        <v>2506</v>
      </c>
      <c r="S148" t="s">
        <v>2562</v>
      </c>
      <c r="T148" t="s">
        <v>1337</v>
      </c>
    </row>
    <row r="149" spans="1:20">
      <c r="A149" t="s">
        <v>44</v>
      </c>
      <c r="B149" t="s">
        <v>2249</v>
      </c>
      <c r="C149" t="s">
        <v>936</v>
      </c>
      <c r="D149" t="s">
        <v>2249</v>
      </c>
      <c r="E149" t="s">
        <v>1500</v>
      </c>
      <c r="F149" t="s">
        <v>1817</v>
      </c>
      <c r="G149" t="s">
        <v>1010</v>
      </c>
      <c r="H149" t="s">
        <v>3867</v>
      </c>
      <c r="I149" t="s">
        <v>3868</v>
      </c>
      <c r="J149" t="s">
        <v>696</v>
      </c>
      <c r="K149" t="s">
        <v>753</v>
      </c>
      <c r="L149" t="s">
        <v>880</v>
      </c>
      <c r="M149" t="s">
        <v>1817</v>
      </c>
      <c r="N149" t="s">
        <v>1010</v>
      </c>
      <c r="O149" t="s">
        <v>3867</v>
      </c>
      <c r="P149" t="s">
        <v>3868</v>
      </c>
      <c r="Q149" t="s">
        <v>696</v>
      </c>
      <c r="R149" t="s">
        <v>753</v>
      </c>
      <c r="S149" t="s">
        <v>880</v>
      </c>
      <c r="T149" t="s">
        <v>696</v>
      </c>
    </row>
    <row r="150" spans="1:20">
      <c r="A150" t="s">
        <v>272</v>
      </c>
      <c r="B150" t="s">
        <v>948</v>
      </c>
      <c r="C150" t="s">
        <v>937</v>
      </c>
      <c r="D150" t="s">
        <v>948</v>
      </c>
      <c r="E150" t="s">
        <v>2453</v>
      </c>
      <c r="F150" t="s">
        <v>2257</v>
      </c>
      <c r="G150" t="s">
        <v>1079</v>
      </c>
      <c r="H150" t="s">
        <v>3311</v>
      </c>
      <c r="I150" t="s">
        <v>3312</v>
      </c>
      <c r="J150" t="s">
        <v>948</v>
      </c>
      <c r="K150" t="s">
        <v>804</v>
      </c>
      <c r="L150" t="s">
        <v>804</v>
      </c>
      <c r="M150" t="s">
        <v>2257</v>
      </c>
      <c r="N150" t="s">
        <v>1079</v>
      </c>
      <c r="O150" t="s">
        <v>3311</v>
      </c>
      <c r="P150" t="s">
        <v>3312</v>
      </c>
      <c r="Q150" t="s">
        <v>948</v>
      </c>
      <c r="R150" t="s">
        <v>804</v>
      </c>
      <c r="S150" t="s">
        <v>804</v>
      </c>
      <c r="T150" t="s">
        <v>645</v>
      </c>
    </row>
    <row r="151" spans="1:20">
      <c r="A151" t="s">
        <v>45</v>
      </c>
      <c r="B151" t="s">
        <v>2925</v>
      </c>
      <c r="C151" t="s">
        <v>936</v>
      </c>
      <c r="D151" t="s">
        <v>2922</v>
      </c>
      <c r="E151" t="s">
        <v>2925</v>
      </c>
      <c r="F151" t="s">
        <v>3017</v>
      </c>
      <c r="G151" t="s">
        <v>1334</v>
      </c>
      <c r="H151" t="s">
        <v>3970</v>
      </c>
      <c r="I151" t="s">
        <v>3971</v>
      </c>
      <c r="J151" t="s">
        <v>1158</v>
      </c>
      <c r="K151" t="s">
        <v>1162</v>
      </c>
      <c r="L151" t="s">
        <v>2365</v>
      </c>
      <c r="M151" t="s">
        <v>3017</v>
      </c>
      <c r="N151" t="s">
        <v>1334</v>
      </c>
      <c r="O151" t="s">
        <v>3970</v>
      </c>
      <c r="P151" t="s">
        <v>3971</v>
      </c>
      <c r="Q151" t="s">
        <v>1158</v>
      </c>
      <c r="R151" t="s">
        <v>1162</v>
      </c>
      <c r="S151" t="s">
        <v>2365</v>
      </c>
      <c r="T151" t="s">
        <v>1334</v>
      </c>
    </row>
    <row r="152" spans="1:20">
      <c r="A152" t="s">
        <v>46</v>
      </c>
      <c r="B152" t="s">
        <v>3104</v>
      </c>
      <c r="C152" t="s">
        <v>936</v>
      </c>
      <c r="D152" t="s">
        <v>3105</v>
      </c>
      <c r="E152" t="s">
        <v>3104</v>
      </c>
      <c r="F152" t="s">
        <v>3019</v>
      </c>
      <c r="G152" t="s">
        <v>1160</v>
      </c>
      <c r="H152" t="s">
        <v>3869</v>
      </c>
      <c r="I152">
        <v>422.40199999999999</v>
      </c>
      <c r="J152" t="s">
        <v>834</v>
      </c>
      <c r="K152" t="s">
        <v>2736</v>
      </c>
      <c r="L152" t="s">
        <v>1875</v>
      </c>
      <c r="M152" t="s">
        <v>3019</v>
      </c>
      <c r="N152" t="s">
        <v>1160</v>
      </c>
      <c r="O152" t="s">
        <v>3869</v>
      </c>
      <c r="P152">
        <v>422.40199999999999</v>
      </c>
      <c r="Q152" t="s">
        <v>834</v>
      </c>
      <c r="R152" t="s">
        <v>2736</v>
      </c>
      <c r="S152" t="s">
        <v>1875</v>
      </c>
      <c r="T152" t="s">
        <v>1114</v>
      </c>
    </row>
    <row r="153" spans="1:20">
      <c r="A153" t="s">
        <v>273</v>
      </c>
      <c r="B153" t="s">
        <v>3094</v>
      </c>
      <c r="C153" t="s">
        <v>936</v>
      </c>
      <c r="D153" t="s">
        <v>3100</v>
      </c>
      <c r="E153" t="s">
        <v>3094</v>
      </c>
      <c r="F153" t="s">
        <v>1759</v>
      </c>
      <c r="G153" t="s">
        <v>2143</v>
      </c>
      <c r="H153" t="s">
        <v>3870</v>
      </c>
      <c r="I153" t="s">
        <v>3871</v>
      </c>
      <c r="J153" t="s">
        <v>1112</v>
      </c>
      <c r="K153" t="s">
        <v>837</v>
      </c>
      <c r="L153" t="s">
        <v>785</v>
      </c>
      <c r="M153" t="s">
        <v>1759</v>
      </c>
      <c r="N153" t="s">
        <v>2143</v>
      </c>
      <c r="O153" t="s">
        <v>3870</v>
      </c>
      <c r="P153" t="s">
        <v>3871</v>
      </c>
      <c r="Q153" t="s">
        <v>1112</v>
      </c>
      <c r="R153" t="s">
        <v>837</v>
      </c>
      <c r="S153" t="s">
        <v>785</v>
      </c>
      <c r="T153" t="s">
        <v>1112</v>
      </c>
    </row>
    <row r="154" spans="1:20">
      <c r="A154" t="s">
        <v>47</v>
      </c>
      <c r="B154" t="s">
        <v>3028</v>
      </c>
      <c r="C154" t="s">
        <v>937</v>
      </c>
      <c r="D154" t="s">
        <v>2780</v>
      </c>
      <c r="E154" t="s">
        <v>3028</v>
      </c>
      <c r="F154" t="s">
        <v>1580</v>
      </c>
      <c r="G154" t="s">
        <v>1367</v>
      </c>
      <c r="H154" t="s">
        <v>3313</v>
      </c>
      <c r="I154">
        <v>485.31900000000002</v>
      </c>
      <c r="J154" t="s">
        <v>1234</v>
      </c>
      <c r="K154" t="s">
        <v>832</v>
      </c>
      <c r="L154" t="s">
        <v>875</v>
      </c>
      <c r="M154" t="s">
        <v>1580</v>
      </c>
      <c r="N154" t="s">
        <v>1367</v>
      </c>
      <c r="O154" t="s">
        <v>3313</v>
      </c>
      <c r="P154">
        <v>485.31900000000002</v>
      </c>
      <c r="Q154" t="s">
        <v>1234</v>
      </c>
      <c r="R154" t="s">
        <v>832</v>
      </c>
      <c r="S154" t="s">
        <v>875</v>
      </c>
      <c r="T154" t="s">
        <v>1234</v>
      </c>
    </row>
    <row r="155" spans="1:20">
      <c r="A155" t="s">
        <v>48</v>
      </c>
      <c r="B155" t="s">
        <v>3078</v>
      </c>
      <c r="C155" t="s">
        <v>936</v>
      </c>
      <c r="D155" t="s">
        <v>3078</v>
      </c>
      <c r="E155" t="s">
        <v>3075</v>
      </c>
      <c r="F155" t="s">
        <v>1879</v>
      </c>
      <c r="G155" t="s">
        <v>2164</v>
      </c>
      <c r="H155" t="s">
        <v>3454</v>
      </c>
      <c r="I155">
        <v>20.66</v>
      </c>
      <c r="J155" t="s">
        <v>1401</v>
      </c>
      <c r="K155" t="s">
        <v>3079</v>
      </c>
      <c r="L155" t="s">
        <v>2713</v>
      </c>
      <c r="M155" t="s">
        <v>1879</v>
      </c>
      <c r="N155" t="s">
        <v>2164</v>
      </c>
      <c r="O155" t="s">
        <v>3454</v>
      </c>
      <c r="P155">
        <v>20.66</v>
      </c>
      <c r="Q155" t="s">
        <v>1401</v>
      </c>
      <c r="R155" t="s">
        <v>3079</v>
      </c>
      <c r="S155" t="s">
        <v>2713</v>
      </c>
      <c r="T155" t="s">
        <v>1635</v>
      </c>
    </row>
    <row r="156" spans="1:20">
      <c r="A156" t="s">
        <v>274</v>
      </c>
      <c r="B156" t="s">
        <v>2276</v>
      </c>
      <c r="C156" t="s">
        <v>936</v>
      </c>
      <c r="D156" t="s">
        <v>2869</v>
      </c>
      <c r="E156" t="s">
        <v>2276</v>
      </c>
      <c r="F156" t="s">
        <v>2864</v>
      </c>
      <c r="G156" t="s">
        <v>2154</v>
      </c>
      <c r="H156" t="s">
        <v>3314</v>
      </c>
      <c r="I156" t="s">
        <v>3315</v>
      </c>
      <c r="J156" t="s">
        <v>1090</v>
      </c>
      <c r="K156" t="s">
        <v>922</v>
      </c>
      <c r="L156" t="s">
        <v>1519</v>
      </c>
      <c r="M156" t="s">
        <v>2864</v>
      </c>
      <c r="N156" t="s">
        <v>2154</v>
      </c>
      <c r="O156" t="s">
        <v>3314</v>
      </c>
      <c r="P156" t="s">
        <v>3315</v>
      </c>
      <c r="Q156" t="s">
        <v>1090</v>
      </c>
      <c r="R156" t="s">
        <v>922</v>
      </c>
      <c r="S156" t="s">
        <v>1519</v>
      </c>
      <c r="T156" t="s">
        <v>2001</v>
      </c>
    </row>
    <row r="157" spans="1:20">
      <c r="A157" t="s">
        <v>49</v>
      </c>
      <c r="B157" t="s">
        <v>2909</v>
      </c>
      <c r="C157" t="s">
        <v>937</v>
      </c>
      <c r="D157" t="s">
        <v>2909</v>
      </c>
      <c r="E157" t="s">
        <v>2962</v>
      </c>
      <c r="F157" t="s">
        <v>1405</v>
      </c>
      <c r="G157" t="s">
        <v>645</v>
      </c>
      <c r="H157" t="s">
        <v>3716</v>
      </c>
      <c r="I157">
        <v>438.94099999999997</v>
      </c>
      <c r="J157" t="s">
        <v>1480</v>
      </c>
      <c r="K157" t="s">
        <v>1749</v>
      </c>
      <c r="L157" t="s">
        <v>1881</v>
      </c>
      <c r="M157" t="s">
        <v>1405</v>
      </c>
      <c r="N157" t="s">
        <v>645</v>
      </c>
      <c r="O157" t="s">
        <v>3716</v>
      </c>
      <c r="P157">
        <v>438.94099999999997</v>
      </c>
      <c r="Q157" t="s">
        <v>1480</v>
      </c>
      <c r="R157" t="s">
        <v>1749</v>
      </c>
      <c r="S157" t="s">
        <v>1881</v>
      </c>
      <c r="T157" t="s">
        <v>1388</v>
      </c>
    </row>
    <row r="158" spans="1:20">
      <c r="A158" t="s">
        <v>50</v>
      </c>
      <c r="B158" t="s">
        <v>1900</v>
      </c>
      <c r="C158" t="s">
        <v>936</v>
      </c>
      <c r="D158" t="s">
        <v>3194</v>
      </c>
      <c r="E158" t="s">
        <v>1900</v>
      </c>
      <c r="F158" t="s">
        <v>1900</v>
      </c>
      <c r="G158" t="s">
        <v>2002</v>
      </c>
      <c r="H158" t="s">
        <v>3440</v>
      </c>
      <c r="I158">
        <v>251.47300000000001</v>
      </c>
      <c r="J158" t="s">
        <v>1121</v>
      </c>
      <c r="K158" t="s">
        <v>1038</v>
      </c>
      <c r="L158" t="s">
        <v>2214</v>
      </c>
      <c r="M158" t="s">
        <v>1900</v>
      </c>
      <c r="N158" t="s">
        <v>2002</v>
      </c>
      <c r="O158" t="s">
        <v>3440</v>
      </c>
      <c r="P158">
        <v>251.47300000000001</v>
      </c>
      <c r="Q158" t="s">
        <v>1121</v>
      </c>
      <c r="R158" t="s">
        <v>1038</v>
      </c>
      <c r="S158" t="s">
        <v>2214</v>
      </c>
      <c r="T158" t="s">
        <v>2002</v>
      </c>
    </row>
    <row r="159" spans="1:20">
      <c r="A159" t="s">
        <v>51</v>
      </c>
      <c r="B159" t="s">
        <v>2328</v>
      </c>
      <c r="C159" t="s">
        <v>936</v>
      </c>
      <c r="D159" t="s">
        <v>2382</v>
      </c>
      <c r="E159" t="s">
        <v>2328</v>
      </c>
      <c r="F159" t="s">
        <v>727</v>
      </c>
      <c r="G159" t="s">
        <v>1149</v>
      </c>
      <c r="H159" t="s">
        <v>3615</v>
      </c>
      <c r="I159" t="s">
        <v>3616</v>
      </c>
      <c r="J159" t="s">
        <v>1149</v>
      </c>
      <c r="K159" t="s">
        <v>802</v>
      </c>
      <c r="L159" t="s">
        <v>2491</v>
      </c>
      <c r="M159" t="s">
        <v>727</v>
      </c>
      <c r="N159" t="s">
        <v>1149</v>
      </c>
      <c r="O159" t="s">
        <v>3615</v>
      </c>
      <c r="P159" t="s">
        <v>3616</v>
      </c>
      <c r="Q159" t="s">
        <v>1149</v>
      </c>
      <c r="R159" t="s">
        <v>802</v>
      </c>
      <c r="S159" t="s">
        <v>2491</v>
      </c>
      <c r="T159" t="s">
        <v>1149</v>
      </c>
    </row>
    <row r="160" spans="1:20">
      <c r="A160" t="s">
        <v>52</v>
      </c>
      <c r="B160" t="s">
        <v>2430</v>
      </c>
      <c r="C160" t="s">
        <v>937</v>
      </c>
      <c r="D160" t="s">
        <v>2430</v>
      </c>
      <c r="E160" t="s">
        <v>1419</v>
      </c>
      <c r="F160" t="s">
        <v>2445</v>
      </c>
      <c r="G160" t="s">
        <v>828</v>
      </c>
      <c r="H160" t="s">
        <v>3788</v>
      </c>
      <c r="I160" t="s">
        <v>3789</v>
      </c>
      <c r="J160" t="s">
        <v>1419</v>
      </c>
      <c r="K160" t="s">
        <v>873</v>
      </c>
      <c r="L160" t="s">
        <v>772</v>
      </c>
      <c r="M160" t="s">
        <v>2445</v>
      </c>
      <c r="N160" t="s">
        <v>828</v>
      </c>
      <c r="O160" t="s">
        <v>3788</v>
      </c>
      <c r="P160" t="s">
        <v>3789</v>
      </c>
      <c r="Q160" t="s">
        <v>1419</v>
      </c>
      <c r="R160" t="s">
        <v>873</v>
      </c>
      <c r="S160" t="s">
        <v>772</v>
      </c>
      <c r="T160" t="s">
        <v>1912</v>
      </c>
    </row>
    <row r="161" spans="1:20">
      <c r="A161" t="s">
        <v>275</v>
      </c>
      <c r="B161" t="s">
        <v>1217</v>
      </c>
      <c r="C161" t="s">
        <v>936</v>
      </c>
      <c r="D161" t="s">
        <v>1217</v>
      </c>
      <c r="E161" t="s">
        <v>716</v>
      </c>
      <c r="F161" t="s">
        <v>1692</v>
      </c>
      <c r="G161" t="s">
        <v>1222</v>
      </c>
      <c r="H161" t="s">
        <v>3449</v>
      </c>
      <c r="I161" t="s">
        <v>3450</v>
      </c>
      <c r="J161" t="s">
        <v>1395</v>
      </c>
      <c r="K161" t="s">
        <v>785</v>
      </c>
      <c r="L161" t="s">
        <v>2713</v>
      </c>
      <c r="M161" t="s">
        <v>1692</v>
      </c>
      <c r="N161" t="s">
        <v>1222</v>
      </c>
      <c r="O161" t="s">
        <v>3449</v>
      </c>
      <c r="P161" t="s">
        <v>3450</v>
      </c>
      <c r="Q161" t="s">
        <v>1395</v>
      </c>
      <c r="R161" t="s">
        <v>785</v>
      </c>
      <c r="S161" t="s">
        <v>2713</v>
      </c>
      <c r="T161" t="s">
        <v>1015</v>
      </c>
    </row>
    <row r="162" spans="1:20">
      <c r="A162" t="s">
        <v>276</v>
      </c>
      <c r="B162" t="s">
        <v>1115</v>
      </c>
      <c r="C162" t="s">
        <v>936</v>
      </c>
      <c r="D162" t="s">
        <v>1115</v>
      </c>
      <c r="E162" t="s">
        <v>2504</v>
      </c>
      <c r="F162" t="s">
        <v>2227</v>
      </c>
      <c r="G162" t="s">
        <v>1720</v>
      </c>
      <c r="H162" t="s">
        <v>3678</v>
      </c>
      <c r="I162">
        <v>660.35199999999998</v>
      </c>
      <c r="J162" t="s">
        <v>1053</v>
      </c>
      <c r="K162" t="s">
        <v>882</v>
      </c>
      <c r="L162" t="s">
        <v>805</v>
      </c>
      <c r="M162" t="s">
        <v>2227</v>
      </c>
      <c r="N162" t="s">
        <v>1720</v>
      </c>
      <c r="O162" t="s">
        <v>3678</v>
      </c>
      <c r="P162">
        <v>660.35199999999998</v>
      </c>
      <c r="Q162" t="s">
        <v>1053</v>
      </c>
      <c r="R162" t="s">
        <v>882</v>
      </c>
      <c r="S162" t="s">
        <v>805</v>
      </c>
      <c r="T162" t="s">
        <v>1053</v>
      </c>
    </row>
    <row r="163" spans="1:20">
      <c r="A163" t="s">
        <v>277</v>
      </c>
      <c r="B163" t="s">
        <v>2854</v>
      </c>
      <c r="C163" t="s">
        <v>937</v>
      </c>
      <c r="D163" t="s">
        <v>2854</v>
      </c>
      <c r="E163" t="s">
        <v>1059</v>
      </c>
      <c r="F163" t="s">
        <v>1449</v>
      </c>
      <c r="G163" t="s">
        <v>2854</v>
      </c>
      <c r="H163" t="s">
        <v>3526</v>
      </c>
      <c r="I163" t="s">
        <v>3527</v>
      </c>
      <c r="J163" t="s">
        <v>1075</v>
      </c>
      <c r="K163" t="s">
        <v>801</v>
      </c>
      <c r="L163" t="s">
        <v>2597</v>
      </c>
      <c r="M163" t="s">
        <v>1449</v>
      </c>
      <c r="N163" t="s">
        <v>2854</v>
      </c>
      <c r="O163" t="s">
        <v>3526</v>
      </c>
      <c r="P163" t="s">
        <v>3527</v>
      </c>
      <c r="Q163" t="s">
        <v>1075</v>
      </c>
      <c r="R163" t="s">
        <v>801</v>
      </c>
      <c r="S163" t="s">
        <v>2597</v>
      </c>
      <c r="T163" t="s">
        <v>604</v>
      </c>
    </row>
    <row r="164" spans="1:20">
      <c r="A164" t="s">
        <v>53</v>
      </c>
      <c r="B164" t="s">
        <v>2684</v>
      </c>
      <c r="C164" t="s">
        <v>937</v>
      </c>
      <c r="D164" t="s">
        <v>2684</v>
      </c>
      <c r="E164" t="s">
        <v>1034</v>
      </c>
      <c r="F164" t="s">
        <v>1958</v>
      </c>
      <c r="G164" t="s">
        <v>1109</v>
      </c>
      <c r="H164" t="s">
        <v>3242</v>
      </c>
      <c r="I164" t="s">
        <v>3243</v>
      </c>
      <c r="J164" t="s">
        <v>1240</v>
      </c>
      <c r="K164" t="s">
        <v>818</v>
      </c>
      <c r="L164" t="s">
        <v>2600</v>
      </c>
      <c r="M164" t="s">
        <v>1958</v>
      </c>
      <c r="N164" t="s">
        <v>1109</v>
      </c>
      <c r="O164" t="s">
        <v>3242</v>
      </c>
      <c r="P164" t="s">
        <v>3243</v>
      </c>
      <c r="Q164" t="s">
        <v>1240</v>
      </c>
      <c r="R164" t="s">
        <v>818</v>
      </c>
      <c r="S164" t="s">
        <v>2600</v>
      </c>
      <c r="T164" t="s">
        <v>1240</v>
      </c>
    </row>
    <row r="165" spans="1:20">
      <c r="A165" t="s">
        <v>278</v>
      </c>
      <c r="B165" t="s">
        <v>1211</v>
      </c>
      <c r="C165" t="s">
        <v>937</v>
      </c>
      <c r="D165" t="s">
        <v>1211</v>
      </c>
      <c r="E165" t="s">
        <v>1854</v>
      </c>
      <c r="F165" t="s">
        <v>2228</v>
      </c>
      <c r="G165" t="s">
        <v>1888</v>
      </c>
      <c r="H165" t="s">
        <v>3316</v>
      </c>
      <c r="I165">
        <v>462.44900000000001</v>
      </c>
      <c r="J165" t="s">
        <v>1211</v>
      </c>
      <c r="K165" t="s">
        <v>804</v>
      </c>
      <c r="L165" t="s">
        <v>804</v>
      </c>
      <c r="M165" t="s">
        <v>2228</v>
      </c>
      <c r="N165" t="s">
        <v>1888</v>
      </c>
      <c r="O165" t="s">
        <v>3316</v>
      </c>
      <c r="P165">
        <v>462.44900000000001</v>
      </c>
      <c r="Q165" t="s">
        <v>1211</v>
      </c>
      <c r="R165" t="s">
        <v>804</v>
      </c>
      <c r="S165" t="s">
        <v>804</v>
      </c>
      <c r="T165" t="s">
        <v>1211</v>
      </c>
    </row>
    <row r="166" spans="1:20">
      <c r="A166" t="s">
        <v>279</v>
      </c>
      <c r="B166" t="s">
        <v>2673</v>
      </c>
      <c r="C166" t="s">
        <v>937</v>
      </c>
      <c r="D166" t="s">
        <v>1091</v>
      </c>
      <c r="E166" t="s">
        <v>2673</v>
      </c>
      <c r="F166" t="s">
        <v>1713</v>
      </c>
      <c r="G166" t="s">
        <v>2673</v>
      </c>
      <c r="H166" t="s">
        <v>3872</v>
      </c>
      <c r="I166" t="s">
        <v>3873</v>
      </c>
      <c r="J166" t="s">
        <v>1073</v>
      </c>
      <c r="K166" t="s">
        <v>2506</v>
      </c>
      <c r="L166" t="s">
        <v>2407</v>
      </c>
      <c r="M166" t="s">
        <v>1713</v>
      </c>
      <c r="N166" t="s">
        <v>2673</v>
      </c>
      <c r="O166" t="s">
        <v>3872</v>
      </c>
      <c r="P166" t="s">
        <v>3873</v>
      </c>
      <c r="Q166" t="s">
        <v>1073</v>
      </c>
      <c r="R166" t="s">
        <v>2506</v>
      </c>
      <c r="S166" t="s">
        <v>2407</v>
      </c>
      <c r="T166" t="s">
        <v>1637</v>
      </c>
    </row>
    <row r="167" spans="1:20">
      <c r="A167" t="s">
        <v>54</v>
      </c>
      <c r="B167" t="s">
        <v>2587</v>
      </c>
      <c r="C167" t="s">
        <v>937</v>
      </c>
      <c r="D167" t="s">
        <v>2229</v>
      </c>
      <c r="E167" t="s">
        <v>2587</v>
      </c>
      <c r="F167" t="s">
        <v>1079</v>
      </c>
      <c r="G167" t="s">
        <v>1341</v>
      </c>
      <c r="H167" t="s">
        <v>3679</v>
      </c>
      <c r="I167" t="s">
        <v>3680</v>
      </c>
      <c r="J167" t="s">
        <v>766</v>
      </c>
      <c r="K167" t="s">
        <v>777</v>
      </c>
      <c r="L167" t="s">
        <v>2556</v>
      </c>
      <c r="M167" t="s">
        <v>1079</v>
      </c>
      <c r="N167" t="s">
        <v>1341</v>
      </c>
      <c r="O167" t="s">
        <v>3679</v>
      </c>
      <c r="P167" t="s">
        <v>3680</v>
      </c>
      <c r="Q167" t="s">
        <v>766</v>
      </c>
      <c r="R167" t="s">
        <v>777</v>
      </c>
      <c r="S167" t="s">
        <v>2556</v>
      </c>
      <c r="T167" t="s">
        <v>735</v>
      </c>
    </row>
    <row r="168" spans="1:20">
      <c r="A168" t="s">
        <v>280</v>
      </c>
      <c r="B168" t="s">
        <v>2825</v>
      </c>
      <c r="C168" t="s">
        <v>937</v>
      </c>
      <c r="D168" t="s">
        <v>2840</v>
      </c>
      <c r="E168" t="s">
        <v>2825</v>
      </c>
      <c r="F168" t="s">
        <v>1493</v>
      </c>
      <c r="G168" t="s">
        <v>2150</v>
      </c>
      <c r="H168" t="s">
        <v>3383</v>
      </c>
      <c r="I168" t="s">
        <v>3384</v>
      </c>
      <c r="J168" t="s">
        <v>1481</v>
      </c>
      <c r="K168" t="s">
        <v>765</v>
      </c>
      <c r="L168" t="s">
        <v>932</v>
      </c>
      <c r="M168" t="s">
        <v>1493</v>
      </c>
      <c r="N168" t="s">
        <v>2150</v>
      </c>
      <c r="O168" t="s">
        <v>3383</v>
      </c>
      <c r="P168" t="s">
        <v>3384</v>
      </c>
      <c r="Q168" t="s">
        <v>1481</v>
      </c>
      <c r="R168" t="s">
        <v>765</v>
      </c>
      <c r="S168" t="s">
        <v>932</v>
      </c>
      <c r="T168" t="s">
        <v>1481</v>
      </c>
    </row>
    <row r="169" spans="1:20">
      <c r="A169" t="s">
        <v>281</v>
      </c>
      <c r="B169" t="s">
        <v>2230</v>
      </c>
      <c r="C169" t="s">
        <v>937</v>
      </c>
      <c r="D169" t="s">
        <v>2230</v>
      </c>
      <c r="E169" t="s">
        <v>2494</v>
      </c>
      <c r="F169" t="s">
        <v>2700</v>
      </c>
      <c r="G169" t="s">
        <v>640</v>
      </c>
      <c r="H169" t="s">
        <v>3972</v>
      </c>
      <c r="I169" t="s">
        <v>3973</v>
      </c>
      <c r="J169" t="s">
        <v>623</v>
      </c>
      <c r="K169" t="s">
        <v>910</v>
      </c>
      <c r="L169" t="s">
        <v>1896</v>
      </c>
      <c r="M169" t="s">
        <v>2700</v>
      </c>
      <c r="N169" t="s">
        <v>640</v>
      </c>
      <c r="O169" t="s">
        <v>3972</v>
      </c>
      <c r="P169" t="s">
        <v>3973</v>
      </c>
      <c r="Q169" t="s">
        <v>623</v>
      </c>
      <c r="R169" t="s">
        <v>910</v>
      </c>
      <c r="S169" t="s">
        <v>1896</v>
      </c>
      <c r="T169" t="s">
        <v>1017</v>
      </c>
    </row>
    <row r="170" spans="1:20">
      <c r="A170" t="s">
        <v>55</v>
      </c>
      <c r="B170" t="s">
        <v>2186</v>
      </c>
      <c r="C170" t="s">
        <v>937</v>
      </c>
      <c r="D170" t="s">
        <v>2186</v>
      </c>
      <c r="E170" t="s">
        <v>2533</v>
      </c>
      <c r="F170" t="s">
        <v>1557</v>
      </c>
      <c r="G170" t="s">
        <v>2186</v>
      </c>
      <c r="H170" t="s">
        <v>3650</v>
      </c>
      <c r="I170" t="s">
        <v>3651</v>
      </c>
      <c r="J170" t="s">
        <v>1397</v>
      </c>
      <c r="K170" t="s">
        <v>837</v>
      </c>
      <c r="L170" t="s">
        <v>2468</v>
      </c>
      <c r="M170" t="s">
        <v>1557</v>
      </c>
      <c r="N170" t="s">
        <v>2186</v>
      </c>
      <c r="O170" t="s">
        <v>3650</v>
      </c>
      <c r="P170" t="s">
        <v>3651</v>
      </c>
      <c r="Q170" t="s">
        <v>1397</v>
      </c>
      <c r="R170" t="s">
        <v>837</v>
      </c>
      <c r="S170" t="s">
        <v>2468</v>
      </c>
      <c r="T170" t="s">
        <v>1397</v>
      </c>
    </row>
    <row r="171" spans="1:20">
      <c r="A171" t="s">
        <v>56</v>
      </c>
      <c r="B171" t="s">
        <v>3163</v>
      </c>
      <c r="C171" t="s">
        <v>937</v>
      </c>
      <c r="D171" t="s">
        <v>3163</v>
      </c>
      <c r="E171" t="s">
        <v>3129</v>
      </c>
      <c r="F171" t="s">
        <v>2360</v>
      </c>
      <c r="G171" t="s">
        <v>1483</v>
      </c>
      <c r="H171" t="s">
        <v>3562</v>
      </c>
      <c r="I171">
        <v>191.97800000000001</v>
      </c>
      <c r="J171" t="s">
        <v>1482</v>
      </c>
      <c r="K171" t="s">
        <v>1778</v>
      </c>
      <c r="L171" t="s">
        <v>2295</v>
      </c>
      <c r="M171" t="s">
        <v>2360</v>
      </c>
      <c r="N171" t="s">
        <v>1483</v>
      </c>
      <c r="O171" t="s">
        <v>3562</v>
      </c>
      <c r="P171">
        <v>191.97800000000001</v>
      </c>
      <c r="Q171" t="s">
        <v>1482</v>
      </c>
      <c r="R171" t="s">
        <v>1778</v>
      </c>
      <c r="S171" t="s">
        <v>2295</v>
      </c>
      <c r="T171" t="s">
        <v>1483</v>
      </c>
    </row>
    <row r="172" spans="1:20">
      <c r="A172" t="s">
        <v>282</v>
      </c>
      <c r="B172" t="s">
        <v>2757</v>
      </c>
      <c r="C172" t="s">
        <v>936</v>
      </c>
      <c r="D172" t="s">
        <v>2757</v>
      </c>
      <c r="E172" t="s">
        <v>2756</v>
      </c>
      <c r="F172" t="s">
        <v>2115</v>
      </c>
      <c r="G172" t="s">
        <v>994</v>
      </c>
      <c r="H172" t="s">
        <v>3746</v>
      </c>
      <c r="I172">
        <v>540.06399999999996</v>
      </c>
      <c r="J172" t="s">
        <v>906</v>
      </c>
      <c r="K172" t="s">
        <v>480</v>
      </c>
      <c r="L172" t="s">
        <v>780</v>
      </c>
      <c r="M172" t="s">
        <v>2115</v>
      </c>
      <c r="N172" t="s">
        <v>994</v>
      </c>
      <c r="O172" t="s">
        <v>3746</v>
      </c>
      <c r="P172">
        <v>540.06399999999996</v>
      </c>
      <c r="Q172" t="s">
        <v>906</v>
      </c>
      <c r="R172" t="s">
        <v>480</v>
      </c>
      <c r="S172" t="s">
        <v>780</v>
      </c>
      <c r="T172" t="s">
        <v>906</v>
      </c>
    </row>
    <row r="173" spans="1:20">
      <c r="A173" t="s">
        <v>57</v>
      </c>
      <c r="B173" t="s">
        <v>2910</v>
      </c>
      <c r="C173" t="s">
        <v>936</v>
      </c>
      <c r="D173" t="s">
        <v>2910</v>
      </c>
      <c r="E173" t="s">
        <v>2831</v>
      </c>
      <c r="F173" t="s">
        <v>1726</v>
      </c>
      <c r="G173" t="s">
        <v>2719</v>
      </c>
      <c r="H173" t="s">
        <v>3974</v>
      </c>
      <c r="I173" t="s">
        <v>3975</v>
      </c>
      <c r="J173" t="s">
        <v>1224</v>
      </c>
      <c r="K173" t="s">
        <v>768</v>
      </c>
      <c r="L173" t="s">
        <v>2760</v>
      </c>
      <c r="M173" t="s">
        <v>1726</v>
      </c>
      <c r="N173" t="s">
        <v>2719</v>
      </c>
      <c r="O173" t="s">
        <v>3974</v>
      </c>
      <c r="P173" t="s">
        <v>3975</v>
      </c>
      <c r="Q173" t="s">
        <v>1224</v>
      </c>
      <c r="R173" t="s">
        <v>768</v>
      </c>
      <c r="S173" t="s">
        <v>2760</v>
      </c>
      <c r="T173" t="s">
        <v>1724</v>
      </c>
    </row>
    <row r="174" spans="1:20">
      <c r="A174" t="s">
        <v>58</v>
      </c>
      <c r="B174" t="s">
        <v>3049</v>
      </c>
      <c r="C174" t="s">
        <v>937</v>
      </c>
      <c r="D174" t="s">
        <v>1119</v>
      </c>
      <c r="E174" t="s">
        <v>3049</v>
      </c>
      <c r="F174" t="s">
        <v>962</v>
      </c>
      <c r="G174" t="s">
        <v>1524</v>
      </c>
      <c r="H174" t="s">
        <v>3747</v>
      </c>
      <c r="I174">
        <v>951.71799999999996</v>
      </c>
      <c r="J174" t="s">
        <v>849</v>
      </c>
      <c r="K174" t="s">
        <v>1016</v>
      </c>
      <c r="L174" t="s">
        <v>2557</v>
      </c>
      <c r="M174" t="s">
        <v>962</v>
      </c>
      <c r="N174" t="s">
        <v>1524</v>
      </c>
      <c r="O174" t="s">
        <v>3747</v>
      </c>
      <c r="P174">
        <v>951.71799999999996</v>
      </c>
      <c r="Q174" t="s">
        <v>849</v>
      </c>
      <c r="R174" t="s">
        <v>1016</v>
      </c>
      <c r="S174" t="s">
        <v>2557</v>
      </c>
      <c r="T174" t="s">
        <v>2003</v>
      </c>
    </row>
    <row r="175" spans="1:20">
      <c r="A175" t="s">
        <v>283</v>
      </c>
      <c r="B175" t="s">
        <v>2891</v>
      </c>
      <c r="C175" t="s">
        <v>937</v>
      </c>
      <c r="D175" t="s">
        <v>2961</v>
      </c>
      <c r="E175" t="s">
        <v>2891</v>
      </c>
      <c r="F175" t="s">
        <v>2080</v>
      </c>
      <c r="G175" t="s">
        <v>2004</v>
      </c>
      <c r="H175" t="s">
        <v>3874</v>
      </c>
      <c r="I175">
        <v>154.935</v>
      </c>
      <c r="J175" t="s">
        <v>1424</v>
      </c>
      <c r="K175" t="s">
        <v>2645</v>
      </c>
      <c r="L175" t="s">
        <v>1649</v>
      </c>
      <c r="M175" t="s">
        <v>2080</v>
      </c>
      <c r="N175" t="s">
        <v>2004</v>
      </c>
      <c r="O175" t="s">
        <v>3874</v>
      </c>
      <c r="P175">
        <v>154.935</v>
      </c>
      <c r="Q175" t="s">
        <v>1424</v>
      </c>
      <c r="R175" t="s">
        <v>2645</v>
      </c>
      <c r="S175" t="s">
        <v>1649</v>
      </c>
      <c r="T175" t="s">
        <v>2004</v>
      </c>
    </row>
    <row r="176" spans="1:20">
      <c r="A176" t="s">
        <v>59</v>
      </c>
      <c r="B176" t="s">
        <v>2722</v>
      </c>
      <c r="C176" t="s">
        <v>936</v>
      </c>
      <c r="D176" t="s">
        <v>2717</v>
      </c>
      <c r="E176" t="s">
        <v>2722</v>
      </c>
      <c r="F176" t="s">
        <v>1615</v>
      </c>
      <c r="G176" t="s">
        <v>1266</v>
      </c>
      <c r="H176" t="s">
        <v>3244</v>
      </c>
      <c r="I176">
        <v>296.47399999999999</v>
      </c>
      <c r="J176" t="s">
        <v>1379</v>
      </c>
      <c r="K176" t="s">
        <v>848</v>
      </c>
      <c r="L176" t="s">
        <v>751</v>
      </c>
      <c r="M176" t="s">
        <v>1615</v>
      </c>
      <c r="N176" t="s">
        <v>1266</v>
      </c>
      <c r="O176" t="s">
        <v>3244</v>
      </c>
      <c r="P176">
        <v>296.47399999999999</v>
      </c>
      <c r="Q176" t="s">
        <v>1379</v>
      </c>
      <c r="R176" t="s">
        <v>848</v>
      </c>
      <c r="S176" t="s">
        <v>751</v>
      </c>
      <c r="T176" t="s">
        <v>1266</v>
      </c>
    </row>
    <row r="177" spans="1:20">
      <c r="A177" t="s">
        <v>284</v>
      </c>
      <c r="B177" t="s">
        <v>2792</v>
      </c>
      <c r="C177" t="s">
        <v>937</v>
      </c>
      <c r="D177" t="s">
        <v>2792</v>
      </c>
      <c r="E177" t="s">
        <v>1264</v>
      </c>
      <c r="F177" t="s">
        <v>449</v>
      </c>
      <c r="G177" t="s">
        <v>2479</v>
      </c>
      <c r="H177" t="s">
        <v>3506</v>
      </c>
      <c r="I177" t="s">
        <v>3507</v>
      </c>
      <c r="J177" t="s">
        <v>1463</v>
      </c>
      <c r="K177" t="s">
        <v>823</v>
      </c>
      <c r="L177" t="s">
        <v>761</v>
      </c>
      <c r="M177" t="s">
        <v>449</v>
      </c>
      <c r="N177" t="s">
        <v>2479</v>
      </c>
      <c r="O177" t="s">
        <v>3506</v>
      </c>
      <c r="P177" t="s">
        <v>3507</v>
      </c>
      <c r="Q177" t="s">
        <v>1463</v>
      </c>
      <c r="R177" t="s">
        <v>823</v>
      </c>
      <c r="S177" t="s">
        <v>761</v>
      </c>
      <c r="T177" t="s">
        <v>981</v>
      </c>
    </row>
    <row r="178" spans="1:20">
      <c r="A178" t="s">
        <v>60</v>
      </c>
      <c r="B178" t="s">
        <v>2391</v>
      </c>
      <c r="C178" t="s">
        <v>936</v>
      </c>
      <c r="D178" t="s">
        <v>1485</v>
      </c>
      <c r="E178" t="s">
        <v>2391</v>
      </c>
      <c r="F178" t="s">
        <v>908</v>
      </c>
      <c r="G178" t="s">
        <v>2366</v>
      </c>
      <c r="H178" t="s">
        <v>3385</v>
      </c>
      <c r="I178" t="s">
        <v>3386</v>
      </c>
      <c r="J178" t="s">
        <v>962</v>
      </c>
      <c r="K178" t="s">
        <v>2404</v>
      </c>
      <c r="L178" t="s">
        <v>2947</v>
      </c>
      <c r="M178" t="s">
        <v>908</v>
      </c>
      <c r="N178" t="s">
        <v>2366</v>
      </c>
      <c r="O178" t="s">
        <v>3385</v>
      </c>
      <c r="P178" t="s">
        <v>3386</v>
      </c>
      <c r="Q178" t="s">
        <v>962</v>
      </c>
      <c r="R178" t="s">
        <v>2404</v>
      </c>
      <c r="S178" t="s">
        <v>2947</v>
      </c>
      <c r="T178" t="s">
        <v>1285</v>
      </c>
    </row>
    <row r="179" spans="1:20">
      <c r="A179" t="s">
        <v>427</v>
      </c>
      <c r="B179" t="s">
        <v>2145</v>
      </c>
      <c r="C179" t="s">
        <v>937</v>
      </c>
      <c r="D179" t="s">
        <v>2145</v>
      </c>
      <c r="E179" t="s">
        <v>2754</v>
      </c>
      <c r="F179" t="s">
        <v>1486</v>
      </c>
      <c r="G179" t="s">
        <v>2000</v>
      </c>
      <c r="H179" t="s">
        <v>3317</v>
      </c>
      <c r="I179">
        <v>173.39500000000001</v>
      </c>
      <c r="J179" t="s">
        <v>611</v>
      </c>
      <c r="K179" t="s">
        <v>2667</v>
      </c>
      <c r="L179" t="s">
        <v>2723</v>
      </c>
      <c r="M179" t="s">
        <v>1486</v>
      </c>
      <c r="N179" t="s">
        <v>2000</v>
      </c>
      <c r="O179" t="s">
        <v>3317</v>
      </c>
      <c r="P179">
        <v>173.39500000000001</v>
      </c>
      <c r="Q179" t="s">
        <v>611</v>
      </c>
      <c r="R179" t="s">
        <v>2667</v>
      </c>
      <c r="S179" t="s">
        <v>2723</v>
      </c>
      <c r="T179" t="s">
        <v>611</v>
      </c>
    </row>
    <row r="180" spans="1:20">
      <c r="A180" t="s">
        <v>61</v>
      </c>
      <c r="B180" t="s">
        <v>2551</v>
      </c>
      <c r="C180" t="s">
        <v>936</v>
      </c>
      <c r="D180" t="s">
        <v>814</v>
      </c>
      <c r="E180" t="s">
        <v>2551</v>
      </c>
      <c r="F180" t="s">
        <v>570</v>
      </c>
      <c r="G180" t="s">
        <v>838</v>
      </c>
      <c r="H180" t="s">
        <v>3717</v>
      </c>
      <c r="I180" t="s">
        <v>3718</v>
      </c>
      <c r="J180" t="s">
        <v>570</v>
      </c>
      <c r="K180" t="s">
        <v>760</v>
      </c>
      <c r="L180" t="s">
        <v>2588</v>
      </c>
      <c r="M180" t="s">
        <v>570</v>
      </c>
      <c r="N180" t="s">
        <v>838</v>
      </c>
      <c r="O180" t="s">
        <v>3717</v>
      </c>
      <c r="P180" t="s">
        <v>3718</v>
      </c>
      <c r="Q180" t="s">
        <v>570</v>
      </c>
      <c r="R180" t="s">
        <v>760</v>
      </c>
      <c r="S180" t="s">
        <v>2588</v>
      </c>
      <c r="T180" t="s">
        <v>570</v>
      </c>
    </row>
    <row r="181" spans="1:20">
      <c r="A181" t="s">
        <v>428</v>
      </c>
      <c r="B181" t="s">
        <v>576</v>
      </c>
      <c r="C181" t="s">
        <v>937</v>
      </c>
      <c r="D181" t="s">
        <v>576</v>
      </c>
      <c r="E181" t="s">
        <v>2300</v>
      </c>
      <c r="F181" t="s">
        <v>2005</v>
      </c>
      <c r="G181" t="s">
        <v>576</v>
      </c>
      <c r="H181" t="s">
        <v>3387</v>
      </c>
      <c r="I181">
        <v>157.67400000000001</v>
      </c>
      <c r="J181" t="s">
        <v>1485</v>
      </c>
      <c r="K181" t="s">
        <v>1845</v>
      </c>
      <c r="L181" t="s">
        <v>2904</v>
      </c>
      <c r="M181" t="s">
        <v>2005</v>
      </c>
      <c r="N181" t="s">
        <v>576</v>
      </c>
      <c r="O181" t="s">
        <v>3387</v>
      </c>
      <c r="P181">
        <v>157.67400000000001</v>
      </c>
      <c r="Q181" t="s">
        <v>1485</v>
      </c>
      <c r="R181" t="s">
        <v>1845</v>
      </c>
      <c r="S181" t="s">
        <v>2904</v>
      </c>
      <c r="T181" t="s">
        <v>2005</v>
      </c>
    </row>
    <row r="182" spans="1:20">
      <c r="A182" t="s">
        <v>285</v>
      </c>
      <c r="B182" t="s">
        <v>2393</v>
      </c>
      <c r="C182" t="s">
        <v>937</v>
      </c>
      <c r="D182" t="s">
        <v>2393</v>
      </c>
      <c r="E182" t="s">
        <v>2394</v>
      </c>
      <c r="F182" t="s">
        <v>1788</v>
      </c>
      <c r="G182" t="s">
        <v>3016</v>
      </c>
      <c r="H182" t="s">
        <v>3875</v>
      </c>
      <c r="I182" t="s">
        <v>3876</v>
      </c>
      <c r="J182" t="s">
        <v>738</v>
      </c>
      <c r="K182" t="s">
        <v>2615</v>
      </c>
      <c r="L182" t="s">
        <v>2723</v>
      </c>
      <c r="M182" t="s">
        <v>1788</v>
      </c>
      <c r="N182" t="s">
        <v>3016</v>
      </c>
      <c r="O182" t="s">
        <v>3875</v>
      </c>
      <c r="P182" t="s">
        <v>3876</v>
      </c>
      <c r="Q182" t="s">
        <v>738</v>
      </c>
      <c r="R182" t="s">
        <v>2615</v>
      </c>
      <c r="S182" t="s">
        <v>2723</v>
      </c>
      <c r="T182" t="s">
        <v>1679</v>
      </c>
    </row>
    <row r="183" spans="1:20">
      <c r="A183" t="s">
        <v>286</v>
      </c>
      <c r="B183" t="s">
        <v>2389</v>
      </c>
      <c r="C183" t="s">
        <v>937</v>
      </c>
      <c r="D183" t="s">
        <v>2389</v>
      </c>
      <c r="E183" t="s">
        <v>996</v>
      </c>
      <c r="F183" t="s">
        <v>1762</v>
      </c>
      <c r="G183" t="s">
        <v>2389</v>
      </c>
      <c r="H183" t="s">
        <v>3976</v>
      </c>
      <c r="I183" t="s">
        <v>3977</v>
      </c>
      <c r="J183" t="s">
        <v>578</v>
      </c>
      <c r="K183" t="s">
        <v>769</v>
      </c>
      <c r="L183" t="s">
        <v>2519</v>
      </c>
      <c r="M183" t="s">
        <v>1762</v>
      </c>
      <c r="N183" t="s">
        <v>2389</v>
      </c>
      <c r="O183" t="s">
        <v>3976</v>
      </c>
      <c r="P183" t="s">
        <v>3977</v>
      </c>
      <c r="Q183" t="s">
        <v>578</v>
      </c>
      <c r="R183" t="s">
        <v>769</v>
      </c>
      <c r="S183" t="s">
        <v>2519</v>
      </c>
      <c r="T183" t="s">
        <v>694</v>
      </c>
    </row>
    <row r="184" spans="1:20">
      <c r="A184" t="s">
        <v>429</v>
      </c>
      <c r="B184" t="s">
        <v>2630</v>
      </c>
      <c r="C184" t="s">
        <v>937</v>
      </c>
      <c r="D184" t="s">
        <v>887</v>
      </c>
      <c r="E184" t="s">
        <v>2630</v>
      </c>
      <c r="F184" t="s">
        <v>1687</v>
      </c>
      <c r="G184" t="s">
        <v>961</v>
      </c>
      <c r="H184" t="s">
        <v>3318</v>
      </c>
      <c r="I184">
        <v>320.166</v>
      </c>
      <c r="J184" t="s">
        <v>1244</v>
      </c>
      <c r="K184" t="s">
        <v>785</v>
      </c>
      <c r="L184" t="s">
        <v>831</v>
      </c>
      <c r="M184" t="s">
        <v>1687</v>
      </c>
      <c r="N184" t="s">
        <v>961</v>
      </c>
      <c r="O184" t="s">
        <v>3318</v>
      </c>
      <c r="P184">
        <v>320.166</v>
      </c>
      <c r="Q184" t="s">
        <v>1244</v>
      </c>
      <c r="R184" t="s">
        <v>785</v>
      </c>
      <c r="S184" t="s">
        <v>831</v>
      </c>
      <c r="T184" t="s">
        <v>1244</v>
      </c>
    </row>
    <row r="185" spans="1:20">
      <c r="A185" t="s">
        <v>287</v>
      </c>
      <c r="B185" t="s">
        <v>2669</v>
      </c>
      <c r="C185" t="s">
        <v>937</v>
      </c>
      <c r="D185" t="s">
        <v>2669</v>
      </c>
      <c r="E185" t="s">
        <v>2661</v>
      </c>
      <c r="F185" t="s">
        <v>1386</v>
      </c>
      <c r="G185" t="s">
        <v>2006</v>
      </c>
      <c r="H185" t="s">
        <v>3563</v>
      </c>
      <c r="I185" t="s">
        <v>3564</v>
      </c>
      <c r="J185" t="s">
        <v>990</v>
      </c>
      <c r="K185" t="s">
        <v>790</v>
      </c>
      <c r="L185" t="s">
        <v>817</v>
      </c>
      <c r="M185" t="s">
        <v>1386</v>
      </c>
      <c r="N185" t="s">
        <v>2006</v>
      </c>
      <c r="O185" t="s">
        <v>3563</v>
      </c>
      <c r="P185" t="s">
        <v>3564</v>
      </c>
      <c r="Q185" t="s">
        <v>990</v>
      </c>
      <c r="R185" t="s">
        <v>790</v>
      </c>
      <c r="S185" t="s">
        <v>817</v>
      </c>
      <c r="T185" t="s">
        <v>1602</v>
      </c>
    </row>
    <row r="186" spans="1:20">
      <c r="A186" t="s">
        <v>288</v>
      </c>
      <c r="B186" t="s">
        <v>3132</v>
      </c>
      <c r="C186" t="s">
        <v>937</v>
      </c>
      <c r="D186" t="s">
        <v>3132</v>
      </c>
      <c r="E186" t="s">
        <v>2860</v>
      </c>
      <c r="F186" t="s">
        <v>1558</v>
      </c>
      <c r="G186" t="s">
        <v>2137</v>
      </c>
      <c r="H186" t="s">
        <v>3245</v>
      </c>
      <c r="I186" t="s">
        <v>3246</v>
      </c>
      <c r="J186" t="s">
        <v>1335</v>
      </c>
      <c r="K186" t="s">
        <v>1227</v>
      </c>
      <c r="L186" t="s">
        <v>812</v>
      </c>
      <c r="M186" t="s">
        <v>1558</v>
      </c>
      <c r="N186" t="s">
        <v>2137</v>
      </c>
      <c r="O186" t="s">
        <v>3245</v>
      </c>
      <c r="P186" t="s">
        <v>3246</v>
      </c>
      <c r="Q186" t="s">
        <v>1335</v>
      </c>
      <c r="R186" t="s">
        <v>1227</v>
      </c>
      <c r="S186" t="s">
        <v>812</v>
      </c>
      <c r="T186" t="s">
        <v>2007</v>
      </c>
    </row>
    <row r="187" spans="1:20">
      <c r="A187" t="s">
        <v>62</v>
      </c>
      <c r="B187" t="s">
        <v>2008</v>
      </c>
      <c r="C187" t="s">
        <v>936</v>
      </c>
      <c r="D187" t="s">
        <v>2008</v>
      </c>
      <c r="F187" t="s">
        <v>2008</v>
      </c>
      <c r="G187" t="s">
        <v>1931</v>
      </c>
      <c r="H187" t="s">
        <v>3565</v>
      </c>
      <c r="I187" t="s">
        <v>3566</v>
      </c>
      <c r="J187" t="s">
        <v>1487</v>
      </c>
      <c r="K187" t="s">
        <v>1958</v>
      </c>
      <c r="L187" t="s">
        <v>896</v>
      </c>
      <c r="M187" t="s">
        <v>2008</v>
      </c>
      <c r="N187" t="s">
        <v>1931</v>
      </c>
      <c r="O187" t="s">
        <v>3565</v>
      </c>
      <c r="P187" t="s">
        <v>3566</v>
      </c>
      <c r="Q187" t="s">
        <v>1487</v>
      </c>
      <c r="R187" t="s">
        <v>1958</v>
      </c>
      <c r="S187" t="s">
        <v>896</v>
      </c>
      <c r="T187" t="s">
        <v>1931</v>
      </c>
    </row>
    <row r="188" spans="1:20">
      <c r="A188" t="s">
        <v>63</v>
      </c>
      <c r="B188" t="s">
        <v>2463</v>
      </c>
      <c r="C188" t="s">
        <v>937</v>
      </c>
      <c r="D188" t="s">
        <v>2463</v>
      </c>
      <c r="E188" t="s">
        <v>2774</v>
      </c>
      <c r="F188" t="s">
        <v>2255</v>
      </c>
      <c r="G188" t="s">
        <v>930</v>
      </c>
      <c r="H188" t="s">
        <v>3528</v>
      </c>
      <c r="I188" t="s">
        <v>3529</v>
      </c>
      <c r="J188" t="s">
        <v>651</v>
      </c>
      <c r="K188" t="s">
        <v>832</v>
      </c>
      <c r="L188" t="s">
        <v>1881</v>
      </c>
      <c r="M188" t="s">
        <v>2255</v>
      </c>
      <c r="N188" t="s">
        <v>930</v>
      </c>
      <c r="O188" t="s">
        <v>3528</v>
      </c>
      <c r="P188" t="s">
        <v>3529</v>
      </c>
      <c r="Q188" t="s">
        <v>651</v>
      </c>
      <c r="R188" t="s">
        <v>832</v>
      </c>
      <c r="S188" t="s">
        <v>1881</v>
      </c>
      <c r="T188" t="s">
        <v>691</v>
      </c>
    </row>
    <row r="189" spans="1:20">
      <c r="A189" t="s">
        <v>64</v>
      </c>
      <c r="B189" t="s">
        <v>2426</v>
      </c>
      <c r="C189" t="s">
        <v>937</v>
      </c>
      <c r="D189" t="s">
        <v>2426</v>
      </c>
      <c r="E189" t="s">
        <v>2776</v>
      </c>
      <c r="F189" t="s">
        <v>2232</v>
      </c>
      <c r="G189" t="s">
        <v>1917</v>
      </c>
      <c r="H189" t="s">
        <v>3427</v>
      </c>
      <c r="I189">
        <v>106.878</v>
      </c>
      <c r="J189" t="s">
        <v>1423</v>
      </c>
      <c r="K189" t="s">
        <v>2422</v>
      </c>
      <c r="L189" t="s">
        <v>2495</v>
      </c>
      <c r="M189" t="s">
        <v>2232</v>
      </c>
      <c r="N189" t="s">
        <v>1917</v>
      </c>
      <c r="O189" t="s">
        <v>3427</v>
      </c>
      <c r="P189">
        <v>106.878</v>
      </c>
      <c r="Q189" t="s">
        <v>1423</v>
      </c>
      <c r="R189" t="s">
        <v>2422</v>
      </c>
      <c r="S189" t="s">
        <v>2495</v>
      </c>
      <c r="T189" t="s">
        <v>1822</v>
      </c>
    </row>
    <row r="190" spans="1:20">
      <c r="A190" t="s">
        <v>289</v>
      </c>
      <c r="B190" t="s">
        <v>2498</v>
      </c>
      <c r="C190" t="s">
        <v>937</v>
      </c>
      <c r="D190" t="s">
        <v>2697</v>
      </c>
      <c r="E190" t="s">
        <v>2498</v>
      </c>
      <c r="F190" t="s">
        <v>1207</v>
      </c>
      <c r="G190" t="s">
        <v>1087</v>
      </c>
      <c r="H190" t="s">
        <v>4102</v>
      </c>
      <c r="I190" t="s">
        <v>4081</v>
      </c>
      <c r="J190" t="s">
        <v>660</v>
      </c>
      <c r="K190" t="s">
        <v>836</v>
      </c>
      <c r="L190" t="s">
        <v>2499</v>
      </c>
      <c r="M190" t="s">
        <v>1207</v>
      </c>
      <c r="N190" t="s">
        <v>1087</v>
      </c>
      <c r="O190" t="s">
        <v>4102</v>
      </c>
      <c r="P190" t="s">
        <v>4081</v>
      </c>
      <c r="Q190" t="s">
        <v>660</v>
      </c>
      <c r="R190" t="s">
        <v>836</v>
      </c>
      <c r="S190" t="s">
        <v>2499</v>
      </c>
      <c r="T190" t="s">
        <v>660</v>
      </c>
    </row>
    <row r="191" spans="1:20">
      <c r="A191" t="s">
        <v>290</v>
      </c>
      <c r="B191" t="s">
        <v>1398</v>
      </c>
      <c r="C191" t="s">
        <v>937</v>
      </c>
      <c r="D191" t="s">
        <v>2541</v>
      </c>
      <c r="E191" t="s">
        <v>1398</v>
      </c>
      <c r="F191" t="s">
        <v>2233</v>
      </c>
      <c r="G191" t="s">
        <v>2234</v>
      </c>
      <c r="H191" t="s">
        <v>3978</v>
      </c>
      <c r="I191" t="s">
        <v>3979</v>
      </c>
      <c r="J191" t="s">
        <v>1208</v>
      </c>
      <c r="K191" t="s">
        <v>788</v>
      </c>
      <c r="L191" t="s">
        <v>844</v>
      </c>
      <c r="M191" t="s">
        <v>2233</v>
      </c>
      <c r="N191" t="s">
        <v>2234</v>
      </c>
      <c r="O191" t="s">
        <v>3978</v>
      </c>
      <c r="P191" t="s">
        <v>3979</v>
      </c>
      <c r="Q191" t="s">
        <v>1208</v>
      </c>
      <c r="R191" t="s">
        <v>788</v>
      </c>
      <c r="S191" t="s">
        <v>844</v>
      </c>
      <c r="T191" t="s">
        <v>1398</v>
      </c>
    </row>
    <row r="192" spans="1:20">
      <c r="A192" t="s">
        <v>291</v>
      </c>
      <c r="B192" t="s">
        <v>2923</v>
      </c>
      <c r="C192" t="s">
        <v>937</v>
      </c>
      <c r="D192" t="s">
        <v>2923</v>
      </c>
      <c r="E192" t="s">
        <v>1371</v>
      </c>
      <c r="F192" t="s">
        <v>1389</v>
      </c>
      <c r="G192" t="s">
        <v>1763</v>
      </c>
      <c r="H192" t="s">
        <v>3247</v>
      </c>
      <c r="I192">
        <v>351.53</v>
      </c>
      <c r="J192" t="s">
        <v>1371</v>
      </c>
      <c r="K192" t="s">
        <v>837</v>
      </c>
      <c r="L192" t="s">
        <v>890</v>
      </c>
      <c r="M192" t="s">
        <v>1389</v>
      </c>
      <c r="N192" t="s">
        <v>1763</v>
      </c>
      <c r="O192" t="s">
        <v>3247</v>
      </c>
      <c r="P192">
        <v>351.53</v>
      </c>
      <c r="Q192" t="s">
        <v>1371</v>
      </c>
      <c r="R192" t="s">
        <v>837</v>
      </c>
      <c r="S192" t="s">
        <v>890</v>
      </c>
      <c r="T192" t="s">
        <v>1760</v>
      </c>
    </row>
    <row r="193" spans="1:20">
      <c r="A193" t="s">
        <v>65</v>
      </c>
      <c r="B193" t="s">
        <v>2290</v>
      </c>
      <c r="C193" t="s">
        <v>936</v>
      </c>
      <c r="D193" t="s">
        <v>2545</v>
      </c>
      <c r="E193" t="s">
        <v>2290</v>
      </c>
      <c r="F193" t="s">
        <v>2114</v>
      </c>
      <c r="G193" t="s">
        <v>1470</v>
      </c>
      <c r="H193" t="s">
        <v>3319</v>
      </c>
      <c r="I193" t="s">
        <v>3320</v>
      </c>
      <c r="J193" t="s">
        <v>1470</v>
      </c>
      <c r="K193" t="s">
        <v>845</v>
      </c>
      <c r="L193" t="s">
        <v>2531</v>
      </c>
      <c r="M193" t="s">
        <v>2114</v>
      </c>
      <c r="N193" t="s">
        <v>1470</v>
      </c>
      <c r="O193" t="s">
        <v>3319</v>
      </c>
      <c r="P193" t="s">
        <v>3320</v>
      </c>
      <c r="Q193" t="s">
        <v>1470</v>
      </c>
      <c r="R193" t="s">
        <v>845</v>
      </c>
      <c r="S193" t="s">
        <v>2531</v>
      </c>
      <c r="T193" t="s">
        <v>1470</v>
      </c>
    </row>
    <row r="194" spans="1:20">
      <c r="A194" t="s">
        <v>66</v>
      </c>
      <c r="B194" t="s">
        <v>3152</v>
      </c>
      <c r="C194" t="s">
        <v>937</v>
      </c>
      <c r="D194" t="s">
        <v>3154</v>
      </c>
      <c r="E194" t="s">
        <v>3152</v>
      </c>
      <c r="F194" t="s">
        <v>1639</v>
      </c>
      <c r="G194" t="s">
        <v>3155</v>
      </c>
      <c r="H194" t="s">
        <v>3980</v>
      </c>
      <c r="I194" t="s">
        <v>3981</v>
      </c>
      <c r="J194" t="s">
        <v>1420</v>
      </c>
      <c r="K194" t="s">
        <v>3064</v>
      </c>
      <c r="L194" t="s">
        <v>3153</v>
      </c>
      <c r="M194" t="s">
        <v>1639</v>
      </c>
      <c r="N194" t="s">
        <v>3155</v>
      </c>
      <c r="O194" t="s">
        <v>3980</v>
      </c>
      <c r="P194" t="s">
        <v>3981</v>
      </c>
      <c r="Q194" t="s">
        <v>1420</v>
      </c>
      <c r="R194" t="s">
        <v>3064</v>
      </c>
      <c r="S194" t="s">
        <v>3153</v>
      </c>
      <c r="T194" t="s">
        <v>1420</v>
      </c>
    </row>
    <row r="195" spans="1:20">
      <c r="A195" t="s">
        <v>292</v>
      </c>
      <c r="B195" t="s">
        <v>2507</v>
      </c>
      <c r="C195" t="s">
        <v>937</v>
      </c>
      <c r="D195" t="s">
        <v>1959</v>
      </c>
      <c r="E195" t="s">
        <v>2507</v>
      </c>
      <c r="F195" t="s">
        <v>1342</v>
      </c>
      <c r="G195" t="s">
        <v>2507</v>
      </c>
      <c r="H195" t="s">
        <v>3719</v>
      </c>
      <c r="I195" t="s">
        <v>3720</v>
      </c>
      <c r="J195" t="s">
        <v>961</v>
      </c>
      <c r="K195" t="s">
        <v>951</v>
      </c>
      <c r="L195" t="s">
        <v>2904</v>
      </c>
      <c r="M195" t="s">
        <v>1342</v>
      </c>
      <c r="N195" t="s">
        <v>2507</v>
      </c>
      <c r="O195" t="s">
        <v>3719</v>
      </c>
      <c r="P195" t="s">
        <v>3720</v>
      </c>
      <c r="Q195" t="s">
        <v>961</v>
      </c>
      <c r="R195" t="s">
        <v>951</v>
      </c>
      <c r="S195" t="s">
        <v>2904</v>
      </c>
      <c r="T195" t="s">
        <v>961</v>
      </c>
    </row>
    <row r="196" spans="1:20">
      <c r="A196" t="s">
        <v>67</v>
      </c>
      <c r="B196" t="s">
        <v>2410</v>
      </c>
      <c r="C196" t="s">
        <v>937</v>
      </c>
      <c r="D196" t="s">
        <v>2410</v>
      </c>
      <c r="E196" t="s">
        <v>1937</v>
      </c>
      <c r="F196" t="s">
        <v>1074</v>
      </c>
      <c r="G196" t="s">
        <v>2236</v>
      </c>
      <c r="H196" t="s">
        <v>3652</v>
      </c>
      <c r="I196" t="s">
        <v>3653</v>
      </c>
      <c r="J196" t="s">
        <v>1247</v>
      </c>
      <c r="K196" t="s">
        <v>2978</v>
      </c>
      <c r="L196" t="s">
        <v>2726</v>
      </c>
      <c r="M196" t="s">
        <v>1074</v>
      </c>
      <c r="N196" t="s">
        <v>2236</v>
      </c>
      <c r="O196" t="s">
        <v>3652</v>
      </c>
      <c r="P196" t="s">
        <v>3653</v>
      </c>
      <c r="Q196" t="s">
        <v>1247</v>
      </c>
      <c r="R196" t="s">
        <v>2978</v>
      </c>
      <c r="S196" t="s">
        <v>2726</v>
      </c>
      <c r="T196" t="s">
        <v>1247</v>
      </c>
    </row>
    <row r="197" spans="1:20">
      <c r="A197" t="s">
        <v>68</v>
      </c>
      <c r="B197" t="s">
        <v>939</v>
      </c>
      <c r="C197" t="s">
        <v>937</v>
      </c>
      <c r="D197" t="s">
        <v>939</v>
      </c>
      <c r="E197" t="s">
        <v>2755</v>
      </c>
      <c r="F197" t="s">
        <v>2237</v>
      </c>
      <c r="G197" t="s">
        <v>2010</v>
      </c>
      <c r="H197" t="s">
        <v>3982</v>
      </c>
      <c r="I197" t="s">
        <v>3983</v>
      </c>
      <c r="J197" t="s">
        <v>754</v>
      </c>
      <c r="K197" t="s">
        <v>1203</v>
      </c>
      <c r="L197" t="s">
        <v>692</v>
      </c>
      <c r="M197" t="s">
        <v>2237</v>
      </c>
      <c r="N197" t="s">
        <v>2010</v>
      </c>
      <c r="O197" t="s">
        <v>3982</v>
      </c>
      <c r="P197" t="s">
        <v>3983</v>
      </c>
      <c r="Q197" t="s">
        <v>754</v>
      </c>
      <c r="R197" t="s">
        <v>1203</v>
      </c>
      <c r="S197" t="s">
        <v>692</v>
      </c>
      <c r="T197" t="s">
        <v>754</v>
      </c>
    </row>
    <row r="198" spans="1:20">
      <c r="A198" t="s">
        <v>69</v>
      </c>
      <c r="B198" t="s">
        <v>2288</v>
      </c>
      <c r="C198" t="s">
        <v>936</v>
      </c>
      <c r="D198" t="s">
        <v>2998</v>
      </c>
      <c r="E198" t="s">
        <v>2288</v>
      </c>
      <c r="F198" t="s">
        <v>2239</v>
      </c>
      <c r="G198" t="s">
        <v>683</v>
      </c>
      <c r="H198" t="s">
        <v>3248</v>
      </c>
      <c r="I198">
        <v>607.36699999999996</v>
      </c>
      <c r="J198" t="s">
        <v>1490</v>
      </c>
      <c r="K198" t="s">
        <v>1628</v>
      </c>
      <c r="L198" t="s">
        <v>2358</v>
      </c>
      <c r="M198" t="s">
        <v>2239</v>
      </c>
      <c r="N198" t="s">
        <v>683</v>
      </c>
      <c r="O198" t="s">
        <v>3248</v>
      </c>
      <c r="P198">
        <v>607.36699999999996</v>
      </c>
      <c r="Q198" t="s">
        <v>1490</v>
      </c>
      <c r="R198" t="s">
        <v>1628</v>
      </c>
      <c r="S198" t="s">
        <v>2358</v>
      </c>
      <c r="T198" t="s">
        <v>540</v>
      </c>
    </row>
    <row r="199" spans="1:20">
      <c r="A199" t="s">
        <v>70</v>
      </c>
      <c r="B199" t="s">
        <v>2734</v>
      </c>
      <c r="C199" t="s">
        <v>936</v>
      </c>
      <c r="D199" t="s">
        <v>1466</v>
      </c>
      <c r="E199" t="s">
        <v>2734</v>
      </c>
      <c r="F199" t="s">
        <v>638</v>
      </c>
      <c r="G199" t="s">
        <v>1929</v>
      </c>
      <c r="H199" t="s">
        <v>3249</v>
      </c>
      <c r="I199">
        <v>434.20499999999998</v>
      </c>
      <c r="J199" t="s">
        <v>579</v>
      </c>
      <c r="K199" t="s">
        <v>836</v>
      </c>
      <c r="L199" t="s">
        <v>1733</v>
      </c>
      <c r="M199" t="s">
        <v>638</v>
      </c>
      <c r="N199" t="s">
        <v>1929</v>
      </c>
      <c r="O199" t="s">
        <v>3249</v>
      </c>
      <c r="P199">
        <v>434.20499999999998</v>
      </c>
      <c r="Q199" t="s">
        <v>579</v>
      </c>
      <c r="R199" t="s">
        <v>836</v>
      </c>
      <c r="S199" t="s">
        <v>1733</v>
      </c>
      <c r="T199" t="s">
        <v>579</v>
      </c>
    </row>
    <row r="200" spans="1:20">
      <c r="A200" t="s">
        <v>293</v>
      </c>
      <c r="B200" t="s">
        <v>1360</v>
      </c>
      <c r="C200" t="s">
        <v>936</v>
      </c>
      <c r="D200" t="s">
        <v>2811</v>
      </c>
      <c r="E200" t="s">
        <v>1360</v>
      </c>
      <c r="F200" t="s">
        <v>1616</v>
      </c>
      <c r="G200" t="s">
        <v>666</v>
      </c>
      <c r="H200" t="s">
        <v>3654</v>
      </c>
      <c r="I200" t="s">
        <v>3655</v>
      </c>
      <c r="J200" t="s">
        <v>641</v>
      </c>
      <c r="K200" t="s">
        <v>2482</v>
      </c>
      <c r="L200" t="s">
        <v>2338</v>
      </c>
      <c r="M200" t="s">
        <v>1616</v>
      </c>
      <c r="N200" t="s">
        <v>666</v>
      </c>
      <c r="O200" t="s">
        <v>3654</v>
      </c>
      <c r="P200" t="s">
        <v>3655</v>
      </c>
      <c r="Q200" t="s">
        <v>641</v>
      </c>
      <c r="R200" t="s">
        <v>2482</v>
      </c>
      <c r="S200" t="s">
        <v>2338</v>
      </c>
      <c r="T200" t="s">
        <v>1360</v>
      </c>
    </row>
    <row r="201" spans="1:20">
      <c r="A201" t="s">
        <v>71</v>
      </c>
      <c r="B201" t="s">
        <v>622</v>
      </c>
      <c r="C201" t="s">
        <v>936</v>
      </c>
      <c r="D201" t="s">
        <v>1940</v>
      </c>
      <c r="E201" t="s">
        <v>622</v>
      </c>
      <c r="F201" t="s">
        <v>651</v>
      </c>
      <c r="G201" t="s">
        <v>1600</v>
      </c>
      <c r="H201" t="s">
        <v>3321</v>
      </c>
      <c r="I201" t="s">
        <v>3322</v>
      </c>
      <c r="J201" t="s">
        <v>973</v>
      </c>
      <c r="K201" t="s">
        <v>1227</v>
      </c>
      <c r="L201" t="s">
        <v>1503</v>
      </c>
      <c r="M201" t="s">
        <v>651</v>
      </c>
      <c r="N201" t="s">
        <v>1600</v>
      </c>
      <c r="O201" t="s">
        <v>3321</v>
      </c>
      <c r="P201" t="s">
        <v>3322</v>
      </c>
      <c r="Q201" t="s">
        <v>973</v>
      </c>
      <c r="R201" t="s">
        <v>1227</v>
      </c>
      <c r="S201" t="s">
        <v>1503</v>
      </c>
      <c r="T201" t="s">
        <v>1069</v>
      </c>
    </row>
    <row r="202" spans="1:20">
      <c r="A202" t="s">
        <v>72</v>
      </c>
      <c r="B202" t="s">
        <v>2846</v>
      </c>
      <c r="C202" t="s">
        <v>937</v>
      </c>
      <c r="D202" t="s">
        <v>2846</v>
      </c>
      <c r="E202" t="s">
        <v>2968</v>
      </c>
      <c r="F202" t="s">
        <v>3003</v>
      </c>
      <c r="G202" t="s">
        <v>493</v>
      </c>
      <c r="H202" t="s">
        <v>3617</v>
      </c>
      <c r="I202" t="s">
        <v>3618</v>
      </c>
      <c r="J202" t="s">
        <v>1356</v>
      </c>
      <c r="K202" t="s">
        <v>806</v>
      </c>
      <c r="L202" t="s">
        <v>932</v>
      </c>
      <c r="M202" t="s">
        <v>3003</v>
      </c>
      <c r="N202" t="s">
        <v>493</v>
      </c>
      <c r="O202" t="s">
        <v>3617</v>
      </c>
      <c r="P202" t="s">
        <v>3618</v>
      </c>
      <c r="Q202" t="s">
        <v>1356</v>
      </c>
      <c r="R202" t="s">
        <v>806</v>
      </c>
      <c r="S202" t="s">
        <v>932</v>
      </c>
      <c r="T202" t="s">
        <v>1332</v>
      </c>
    </row>
    <row r="203" spans="1:20">
      <c r="A203" t="s">
        <v>294</v>
      </c>
      <c r="B203" t="s">
        <v>1844</v>
      </c>
      <c r="C203" t="s">
        <v>937</v>
      </c>
      <c r="D203" t="s">
        <v>1001</v>
      </c>
      <c r="E203" t="s">
        <v>1844</v>
      </c>
      <c r="F203" t="s">
        <v>2241</v>
      </c>
      <c r="G203" t="s">
        <v>1844</v>
      </c>
      <c r="H203" t="s">
        <v>3984</v>
      </c>
      <c r="I203" t="s">
        <v>3985</v>
      </c>
      <c r="J203" t="s">
        <v>1000</v>
      </c>
      <c r="K203" t="s">
        <v>862</v>
      </c>
      <c r="L203" t="s">
        <v>1690</v>
      </c>
      <c r="M203" t="s">
        <v>2241</v>
      </c>
      <c r="N203" t="s">
        <v>1844</v>
      </c>
      <c r="O203" t="s">
        <v>3984</v>
      </c>
      <c r="P203" t="s">
        <v>3985</v>
      </c>
      <c r="Q203" t="s">
        <v>1000</v>
      </c>
      <c r="R203" t="s">
        <v>862</v>
      </c>
      <c r="S203" t="s">
        <v>1690</v>
      </c>
      <c r="T203" t="s">
        <v>1640</v>
      </c>
    </row>
    <row r="204" spans="1:20">
      <c r="A204" t="s">
        <v>295</v>
      </c>
      <c r="B204" t="s">
        <v>2293</v>
      </c>
      <c r="C204" t="s">
        <v>937</v>
      </c>
      <c r="D204" t="s">
        <v>2293</v>
      </c>
      <c r="E204" t="s">
        <v>2721</v>
      </c>
      <c r="F204" t="s">
        <v>1721</v>
      </c>
      <c r="G204" t="s">
        <v>1380</v>
      </c>
      <c r="H204" t="s">
        <v>3656</v>
      </c>
      <c r="I204" t="s">
        <v>3657</v>
      </c>
      <c r="J204" t="s">
        <v>701</v>
      </c>
      <c r="K204" t="s">
        <v>757</v>
      </c>
      <c r="L204" t="s">
        <v>929</v>
      </c>
      <c r="M204" t="s">
        <v>1721</v>
      </c>
      <c r="N204" t="s">
        <v>1380</v>
      </c>
      <c r="O204" t="s">
        <v>3656</v>
      </c>
      <c r="P204" t="s">
        <v>3657</v>
      </c>
      <c r="Q204" t="s">
        <v>701</v>
      </c>
      <c r="R204" t="s">
        <v>757</v>
      </c>
      <c r="S204" t="s">
        <v>929</v>
      </c>
      <c r="T204" t="s">
        <v>1126</v>
      </c>
    </row>
    <row r="205" spans="1:20">
      <c r="A205" t="s">
        <v>73</v>
      </c>
      <c r="B205" t="s">
        <v>1701</v>
      </c>
      <c r="C205" t="s">
        <v>937</v>
      </c>
      <c r="D205" t="s">
        <v>1701</v>
      </c>
      <c r="E205" t="s">
        <v>2674</v>
      </c>
      <c r="F205" t="s">
        <v>1728</v>
      </c>
      <c r="G205" t="s">
        <v>3001</v>
      </c>
      <c r="H205" t="s">
        <v>3250</v>
      </c>
      <c r="I205">
        <v>224.40799999999999</v>
      </c>
      <c r="J205" t="s">
        <v>1405</v>
      </c>
      <c r="K205" t="s">
        <v>848</v>
      </c>
      <c r="L205" t="s">
        <v>752</v>
      </c>
      <c r="M205" t="s">
        <v>1728</v>
      </c>
      <c r="N205" t="s">
        <v>3001</v>
      </c>
      <c r="O205" t="s">
        <v>3250</v>
      </c>
      <c r="P205">
        <v>224.40799999999999</v>
      </c>
      <c r="Q205" t="s">
        <v>1405</v>
      </c>
      <c r="R205" t="s">
        <v>848</v>
      </c>
      <c r="S205" t="s">
        <v>752</v>
      </c>
      <c r="T205" t="s">
        <v>1103</v>
      </c>
    </row>
    <row r="206" spans="1:20">
      <c r="A206" t="s">
        <v>296</v>
      </c>
      <c r="B206" t="s">
        <v>2428</v>
      </c>
      <c r="C206" t="s">
        <v>936</v>
      </c>
      <c r="D206" t="s">
        <v>1804</v>
      </c>
      <c r="E206" t="s">
        <v>2428</v>
      </c>
      <c r="F206" t="s">
        <v>2428</v>
      </c>
      <c r="G206" t="s">
        <v>2242</v>
      </c>
      <c r="H206" t="s">
        <v>3402</v>
      </c>
      <c r="I206" t="s">
        <v>3403</v>
      </c>
      <c r="J206" t="s">
        <v>1279</v>
      </c>
      <c r="K206" t="s">
        <v>2488</v>
      </c>
      <c r="L206" t="s">
        <v>1249</v>
      </c>
      <c r="M206" t="s">
        <v>2428</v>
      </c>
      <c r="N206" t="s">
        <v>2242</v>
      </c>
      <c r="O206" t="s">
        <v>3402</v>
      </c>
      <c r="P206" t="s">
        <v>3403</v>
      </c>
      <c r="Q206" t="s">
        <v>1279</v>
      </c>
      <c r="R206" t="s">
        <v>2488</v>
      </c>
      <c r="S206" t="s">
        <v>1249</v>
      </c>
      <c r="T206" t="s">
        <v>1363</v>
      </c>
    </row>
    <row r="207" spans="1:20">
      <c r="A207" t="s">
        <v>74</v>
      </c>
      <c r="B207" t="s">
        <v>2573</v>
      </c>
      <c r="C207" t="s">
        <v>936</v>
      </c>
      <c r="D207" t="s">
        <v>2782</v>
      </c>
      <c r="E207" t="s">
        <v>2573</v>
      </c>
      <c r="F207" t="s">
        <v>2244</v>
      </c>
      <c r="G207" t="s">
        <v>867</v>
      </c>
      <c r="H207" t="s">
        <v>3488</v>
      </c>
      <c r="I207" t="s">
        <v>3489</v>
      </c>
      <c r="J207" t="s">
        <v>617</v>
      </c>
      <c r="K207" t="s">
        <v>1209</v>
      </c>
      <c r="L207" t="s">
        <v>1519</v>
      </c>
      <c r="M207" t="s">
        <v>2244</v>
      </c>
      <c r="N207" t="s">
        <v>867</v>
      </c>
      <c r="O207" t="s">
        <v>3488</v>
      </c>
      <c r="P207" t="s">
        <v>3489</v>
      </c>
      <c r="Q207" t="s">
        <v>617</v>
      </c>
      <c r="R207" t="s">
        <v>1209</v>
      </c>
      <c r="S207" t="s">
        <v>1519</v>
      </c>
      <c r="T207" t="s">
        <v>617</v>
      </c>
    </row>
    <row r="208" spans="1:20">
      <c r="A208" t="s">
        <v>75</v>
      </c>
      <c r="B208" t="s">
        <v>2887</v>
      </c>
      <c r="C208" t="s">
        <v>937</v>
      </c>
      <c r="D208" t="s">
        <v>1330</v>
      </c>
      <c r="E208" t="s">
        <v>2887</v>
      </c>
      <c r="F208" t="s">
        <v>2671</v>
      </c>
      <c r="G208" t="s">
        <v>1515</v>
      </c>
      <c r="H208" t="s">
        <v>3986</v>
      </c>
      <c r="I208" t="s">
        <v>3987</v>
      </c>
      <c r="J208" t="s">
        <v>552</v>
      </c>
      <c r="K208" t="s">
        <v>1611</v>
      </c>
      <c r="L208" t="s">
        <v>1819</v>
      </c>
      <c r="M208" t="s">
        <v>2671</v>
      </c>
      <c r="N208" t="s">
        <v>1515</v>
      </c>
      <c r="O208" t="s">
        <v>3986</v>
      </c>
      <c r="P208" t="s">
        <v>3987</v>
      </c>
      <c r="Q208" t="s">
        <v>552</v>
      </c>
      <c r="R208" t="s">
        <v>1611</v>
      </c>
      <c r="S208" t="s">
        <v>1819</v>
      </c>
      <c r="T208" t="s">
        <v>1515</v>
      </c>
    </row>
    <row r="209" spans="1:20">
      <c r="A209" t="s">
        <v>297</v>
      </c>
      <c r="B209" t="s">
        <v>1599</v>
      </c>
      <c r="C209" t="s">
        <v>937</v>
      </c>
      <c r="D209" t="s">
        <v>1599</v>
      </c>
      <c r="E209" t="s">
        <v>2078</v>
      </c>
      <c r="F209" t="s">
        <v>1525</v>
      </c>
      <c r="G209" t="s">
        <v>690</v>
      </c>
      <c r="H209" t="s">
        <v>3567</v>
      </c>
      <c r="I209" t="s">
        <v>3568</v>
      </c>
      <c r="J209" t="s">
        <v>691</v>
      </c>
      <c r="K209" t="s">
        <v>873</v>
      </c>
      <c r="L209" t="s">
        <v>781</v>
      </c>
      <c r="M209" t="s">
        <v>1525</v>
      </c>
      <c r="N209" t="s">
        <v>690</v>
      </c>
      <c r="O209" t="s">
        <v>3567</v>
      </c>
      <c r="P209" t="s">
        <v>3568</v>
      </c>
      <c r="Q209" t="s">
        <v>691</v>
      </c>
      <c r="R209" t="s">
        <v>873</v>
      </c>
      <c r="S209" t="s">
        <v>781</v>
      </c>
      <c r="T209" t="s">
        <v>691</v>
      </c>
    </row>
    <row r="210" spans="1:20">
      <c r="A210" t="s">
        <v>298</v>
      </c>
      <c r="B210" t="s">
        <v>2355</v>
      </c>
      <c r="C210" t="s">
        <v>937</v>
      </c>
      <c r="D210" t="s">
        <v>2355</v>
      </c>
      <c r="E210" t="s">
        <v>543</v>
      </c>
      <c r="F210" t="s">
        <v>1645</v>
      </c>
      <c r="G210" t="s">
        <v>576</v>
      </c>
      <c r="H210" t="s">
        <v>3323</v>
      </c>
      <c r="I210" t="s">
        <v>3324</v>
      </c>
      <c r="J210" t="s">
        <v>847</v>
      </c>
      <c r="K210" t="s">
        <v>803</v>
      </c>
      <c r="L210" t="s">
        <v>864</v>
      </c>
      <c r="M210" t="s">
        <v>1645</v>
      </c>
      <c r="N210" t="s">
        <v>576</v>
      </c>
      <c r="O210" t="s">
        <v>3323</v>
      </c>
      <c r="P210" t="s">
        <v>3324</v>
      </c>
      <c r="Q210" t="s">
        <v>847</v>
      </c>
      <c r="R210" t="s">
        <v>803</v>
      </c>
      <c r="S210" t="s">
        <v>864</v>
      </c>
      <c r="T210" t="s">
        <v>576</v>
      </c>
    </row>
    <row r="211" spans="1:20">
      <c r="A211" t="s">
        <v>76</v>
      </c>
      <c r="B211" t="s">
        <v>3221</v>
      </c>
      <c r="C211" t="s">
        <v>937</v>
      </c>
      <c r="D211" t="s">
        <v>3221</v>
      </c>
      <c r="E211" t="s">
        <v>3222</v>
      </c>
      <c r="F211" t="s">
        <v>2013</v>
      </c>
      <c r="G211" t="s">
        <v>2014</v>
      </c>
      <c r="H211" t="s">
        <v>3988</v>
      </c>
      <c r="I211">
        <v>348.77300000000002</v>
      </c>
      <c r="J211" t="s">
        <v>1492</v>
      </c>
      <c r="K211" t="s">
        <v>560</v>
      </c>
      <c r="L211" t="s">
        <v>1731</v>
      </c>
      <c r="M211" t="s">
        <v>2013</v>
      </c>
      <c r="N211" t="s">
        <v>2014</v>
      </c>
      <c r="O211" t="s">
        <v>3988</v>
      </c>
      <c r="P211">
        <v>348.77300000000002</v>
      </c>
      <c r="Q211" t="s">
        <v>1492</v>
      </c>
      <c r="R211" t="s">
        <v>560</v>
      </c>
      <c r="S211" t="s">
        <v>1731</v>
      </c>
      <c r="T211" t="s">
        <v>2014</v>
      </c>
    </row>
    <row r="212" spans="1:20">
      <c r="A212" t="s">
        <v>77</v>
      </c>
      <c r="B212" t="s">
        <v>661</v>
      </c>
      <c r="C212" t="s">
        <v>936</v>
      </c>
      <c r="D212" t="s">
        <v>661</v>
      </c>
      <c r="E212" t="s">
        <v>2005</v>
      </c>
      <c r="F212" t="s">
        <v>1869</v>
      </c>
      <c r="G212" t="s">
        <v>1289</v>
      </c>
      <c r="H212" t="s">
        <v>3508</v>
      </c>
      <c r="I212" t="s">
        <v>3509</v>
      </c>
      <c r="J212" t="s">
        <v>1289</v>
      </c>
      <c r="K212" t="s">
        <v>802</v>
      </c>
      <c r="L212" t="s">
        <v>836</v>
      </c>
      <c r="M212" t="s">
        <v>1869</v>
      </c>
      <c r="N212" t="s">
        <v>1289</v>
      </c>
      <c r="O212" t="s">
        <v>3508</v>
      </c>
      <c r="P212" t="s">
        <v>3509</v>
      </c>
      <c r="Q212" t="s">
        <v>1289</v>
      </c>
      <c r="R212" t="s">
        <v>802</v>
      </c>
      <c r="S212" t="s">
        <v>836</v>
      </c>
      <c r="T212" t="s">
        <v>1289</v>
      </c>
    </row>
    <row r="213" spans="1:20">
      <c r="A213" t="s">
        <v>78</v>
      </c>
      <c r="B213" t="s">
        <v>2863</v>
      </c>
      <c r="C213" t="s">
        <v>937</v>
      </c>
      <c r="D213" t="s">
        <v>2524</v>
      </c>
      <c r="E213" t="s">
        <v>2863</v>
      </c>
      <c r="F213" t="s">
        <v>2015</v>
      </c>
      <c r="G213" t="s">
        <v>2863</v>
      </c>
      <c r="H213" t="s">
        <v>3790</v>
      </c>
      <c r="I213" t="s">
        <v>3791</v>
      </c>
      <c r="J213" t="s">
        <v>1493</v>
      </c>
      <c r="K213" t="s">
        <v>2460</v>
      </c>
      <c r="L213" t="s">
        <v>2464</v>
      </c>
      <c r="M213" t="s">
        <v>2015</v>
      </c>
      <c r="N213" t="s">
        <v>2863</v>
      </c>
      <c r="O213" t="s">
        <v>3790</v>
      </c>
      <c r="P213" t="s">
        <v>3791</v>
      </c>
      <c r="Q213" t="s">
        <v>1493</v>
      </c>
      <c r="R213" t="s">
        <v>2460</v>
      </c>
      <c r="S213" t="s">
        <v>2464</v>
      </c>
      <c r="T213" t="s">
        <v>1493</v>
      </c>
    </row>
    <row r="214" spans="1:20">
      <c r="A214" t="s">
        <v>79</v>
      </c>
      <c r="B214" t="s">
        <v>2841</v>
      </c>
      <c r="C214" t="s">
        <v>936</v>
      </c>
      <c r="D214" t="s">
        <v>3068</v>
      </c>
      <c r="E214" t="s">
        <v>2841</v>
      </c>
      <c r="F214" t="s">
        <v>2246</v>
      </c>
      <c r="G214" t="s">
        <v>2011</v>
      </c>
      <c r="H214" t="s">
        <v>3388</v>
      </c>
      <c r="I214" t="s">
        <v>3389</v>
      </c>
      <c r="J214" t="s">
        <v>915</v>
      </c>
      <c r="K214" t="s">
        <v>802</v>
      </c>
      <c r="L214" t="s">
        <v>905</v>
      </c>
      <c r="M214" t="s">
        <v>2246</v>
      </c>
      <c r="N214" t="s">
        <v>2011</v>
      </c>
      <c r="O214" t="s">
        <v>3388</v>
      </c>
      <c r="P214" t="s">
        <v>3389</v>
      </c>
      <c r="Q214" t="s">
        <v>915</v>
      </c>
      <c r="R214" t="s">
        <v>802</v>
      </c>
      <c r="S214" t="s">
        <v>905</v>
      </c>
      <c r="T214" t="s">
        <v>2011</v>
      </c>
    </row>
    <row r="215" spans="1:20">
      <c r="A215" t="s">
        <v>299</v>
      </c>
      <c r="B215" t="s">
        <v>1931</v>
      </c>
      <c r="C215" t="s">
        <v>936</v>
      </c>
      <c r="D215" t="s">
        <v>2959</v>
      </c>
      <c r="E215" t="s">
        <v>1931</v>
      </c>
      <c r="F215" t="s">
        <v>2144</v>
      </c>
      <c r="G215" t="s">
        <v>991</v>
      </c>
      <c r="H215" t="s">
        <v>3877</v>
      </c>
      <c r="I215" t="s">
        <v>3878</v>
      </c>
      <c r="J215" t="s">
        <v>1123</v>
      </c>
      <c r="K215" t="s">
        <v>2196</v>
      </c>
      <c r="L215" t="s">
        <v>2646</v>
      </c>
      <c r="M215" t="s">
        <v>2144</v>
      </c>
      <c r="N215" t="s">
        <v>991</v>
      </c>
      <c r="O215" t="s">
        <v>3877</v>
      </c>
      <c r="P215" t="s">
        <v>3878</v>
      </c>
      <c r="Q215" t="s">
        <v>1123</v>
      </c>
      <c r="R215" t="s">
        <v>2196</v>
      </c>
      <c r="S215" t="s">
        <v>2646</v>
      </c>
      <c r="T215" t="s">
        <v>1123</v>
      </c>
    </row>
    <row r="216" spans="1:20">
      <c r="A216" t="s">
        <v>300</v>
      </c>
      <c r="B216" t="s">
        <v>2423</v>
      </c>
      <c r="C216" t="s">
        <v>936</v>
      </c>
      <c r="D216" t="s">
        <v>3073</v>
      </c>
      <c r="E216" t="s">
        <v>2423</v>
      </c>
      <c r="F216" t="s">
        <v>2423</v>
      </c>
      <c r="G216" t="s">
        <v>1042</v>
      </c>
      <c r="H216" t="s">
        <v>3251</v>
      </c>
      <c r="I216">
        <v>361.05399999999997</v>
      </c>
      <c r="J216" t="s">
        <v>1041</v>
      </c>
      <c r="K216" t="s">
        <v>2353</v>
      </c>
      <c r="L216" t="s">
        <v>2280</v>
      </c>
      <c r="M216" t="s">
        <v>2423</v>
      </c>
      <c r="N216" t="s">
        <v>1042</v>
      </c>
      <c r="O216" t="s">
        <v>3251</v>
      </c>
      <c r="P216">
        <v>361.05399999999997</v>
      </c>
      <c r="Q216" t="s">
        <v>1041</v>
      </c>
      <c r="R216" t="s">
        <v>2353</v>
      </c>
      <c r="S216" t="s">
        <v>2280</v>
      </c>
      <c r="T216" t="s">
        <v>1041</v>
      </c>
    </row>
    <row r="217" spans="1:20">
      <c r="A217" t="s">
        <v>80</v>
      </c>
      <c r="B217" t="s">
        <v>3065</v>
      </c>
      <c r="C217" t="s">
        <v>937</v>
      </c>
      <c r="D217" t="s">
        <v>3065</v>
      </c>
      <c r="E217" t="s">
        <v>2444</v>
      </c>
      <c r="F217" t="s">
        <v>2016</v>
      </c>
      <c r="G217" t="s">
        <v>2147</v>
      </c>
      <c r="H217" t="s">
        <v>3252</v>
      </c>
      <c r="I217" t="s">
        <v>3253</v>
      </c>
      <c r="J217" t="s">
        <v>1495</v>
      </c>
      <c r="K217" t="s">
        <v>890</v>
      </c>
      <c r="L217" t="s">
        <v>2565</v>
      </c>
      <c r="M217" t="s">
        <v>2016</v>
      </c>
      <c r="N217" t="s">
        <v>2147</v>
      </c>
      <c r="O217" t="s">
        <v>3252</v>
      </c>
      <c r="P217" t="s">
        <v>3253</v>
      </c>
      <c r="Q217" t="s">
        <v>1495</v>
      </c>
      <c r="R217" t="s">
        <v>890</v>
      </c>
      <c r="S217" t="s">
        <v>2565</v>
      </c>
      <c r="T217" t="s">
        <v>1495</v>
      </c>
    </row>
    <row r="218" spans="1:20">
      <c r="A218" t="s">
        <v>81</v>
      </c>
      <c r="B218" t="s">
        <v>2097</v>
      </c>
      <c r="C218" t="s">
        <v>937</v>
      </c>
      <c r="D218" t="s">
        <v>2097</v>
      </c>
      <c r="E218" t="s">
        <v>2699</v>
      </c>
      <c r="F218" t="s">
        <v>2121</v>
      </c>
      <c r="G218" t="s">
        <v>1226</v>
      </c>
      <c r="H218" t="s">
        <v>3404</v>
      </c>
      <c r="I218" t="s">
        <v>3405</v>
      </c>
      <c r="J218" t="s">
        <v>1324</v>
      </c>
      <c r="K218" t="s">
        <v>745</v>
      </c>
      <c r="L218" t="s">
        <v>2495</v>
      </c>
      <c r="M218" t="s">
        <v>2121</v>
      </c>
      <c r="N218" t="s">
        <v>1226</v>
      </c>
      <c r="O218" t="s">
        <v>3404</v>
      </c>
      <c r="P218" t="s">
        <v>3405</v>
      </c>
      <c r="Q218" t="s">
        <v>1324</v>
      </c>
      <c r="R218" t="s">
        <v>745</v>
      </c>
      <c r="S218" t="s">
        <v>2495</v>
      </c>
      <c r="T218" t="s">
        <v>1226</v>
      </c>
    </row>
    <row r="219" spans="1:20">
      <c r="A219" t="s">
        <v>82</v>
      </c>
      <c r="B219" t="s">
        <v>2017</v>
      </c>
      <c r="C219" t="s">
        <v>936</v>
      </c>
      <c r="D219" t="s">
        <v>2017</v>
      </c>
      <c r="F219" t="s">
        <v>2017</v>
      </c>
      <c r="G219" t="s">
        <v>1069</v>
      </c>
      <c r="H219" t="s">
        <v>3989</v>
      </c>
      <c r="I219" t="s">
        <v>3990</v>
      </c>
      <c r="J219" t="s">
        <v>1496</v>
      </c>
      <c r="K219" t="s">
        <v>985</v>
      </c>
      <c r="L219" t="s">
        <v>680</v>
      </c>
      <c r="M219" t="s">
        <v>2017</v>
      </c>
      <c r="N219" t="s">
        <v>1069</v>
      </c>
      <c r="O219" t="s">
        <v>3989</v>
      </c>
      <c r="P219" t="s">
        <v>3990</v>
      </c>
      <c r="Q219" t="s">
        <v>1496</v>
      </c>
      <c r="R219" t="s">
        <v>985</v>
      </c>
      <c r="S219" t="s">
        <v>680</v>
      </c>
      <c r="T219" t="s">
        <v>1497</v>
      </c>
    </row>
    <row r="220" spans="1:20">
      <c r="A220" t="s">
        <v>83</v>
      </c>
      <c r="B220" t="s">
        <v>3223</v>
      </c>
      <c r="C220" t="s">
        <v>937</v>
      </c>
      <c r="D220" t="s">
        <v>3431</v>
      </c>
      <c r="E220" t="s">
        <v>3223</v>
      </c>
      <c r="F220" t="s">
        <v>1928</v>
      </c>
      <c r="G220" t="s">
        <v>1165</v>
      </c>
      <c r="H220" t="s">
        <v>3991</v>
      </c>
      <c r="I220" t="s">
        <v>3992</v>
      </c>
      <c r="J220" t="s">
        <v>1421</v>
      </c>
      <c r="K220" t="s">
        <v>775</v>
      </c>
      <c r="L220" t="s">
        <v>931</v>
      </c>
      <c r="M220" t="s">
        <v>1928</v>
      </c>
      <c r="N220" t="s">
        <v>1165</v>
      </c>
      <c r="O220" t="s">
        <v>3991</v>
      </c>
      <c r="P220" t="s">
        <v>3992</v>
      </c>
      <c r="Q220" t="s">
        <v>1421</v>
      </c>
      <c r="R220" t="s">
        <v>775</v>
      </c>
      <c r="S220" t="s">
        <v>931</v>
      </c>
      <c r="T220" t="s">
        <v>1681</v>
      </c>
    </row>
    <row r="221" spans="1:20">
      <c r="A221" t="s">
        <v>301</v>
      </c>
      <c r="B221" t="s">
        <v>2481</v>
      </c>
      <c r="C221" t="s">
        <v>936</v>
      </c>
      <c r="D221" t="s">
        <v>2481</v>
      </c>
      <c r="E221" t="s">
        <v>2882</v>
      </c>
      <c r="F221" t="s">
        <v>1347</v>
      </c>
      <c r="G221" t="s">
        <v>627</v>
      </c>
      <c r="H221" t="s">
        <v>3721</v>
      </c>
      <c r="I221" t="s">
        <v>3722</v>
      </c>
      <c r="J221" t="s">
        <v>533</v>
      </c>
      <c r="K221" t="s">
        <v>751</v>
      </c>
      <c r="L221" t="s">
        <v>2508</v>
      </c>
      <c r="M221" t="s">
        <v>1347</v>
      </c>
      <c r="N221" t="s">
        <v>627</v>
      </c>
      <c r="O221" t="s">
        <v>3721</v>
      </c>
      <c r="P221" t="s">
        <v>3722</v>
      </c>
      <c r="Q221" t="s">
        <v>533</v>
      </c>
      <c r="R221" t="s">
        <v>751</v>
      </c>
      <c r="S221" t="s">
        <v>2508</v>
      </c>
      <c r="T221" t="s">
        <v>1765</v>
      </c>
    </row>
    <row r="222" spans="1:20">
      <c r="A222" t="s">
        <v>302</v>
      </c>
      <c r="B222" t="s">
        <v>1930</v>
      </c>
      <c r="C222" t="s">
        <v>937</v>
      </c>
      <c r="D222" t="s">
        <v>1899</v>
      </c>
      <c r="E222" t="s">
        <v>1930</v>
      </c>
      <c r="F222" t="s">
        <v>1365</v>
      </c>
      <c r="G222" t="s">
        <v>1696</v>
      </c>
      <c r="H222" t="s">
        <v>3325</v>
      </c>
      <c r="I222" t="s">
        <v>3326</v>
      </c>
      <c r="J222" t="s">
        <v>1399</v>
      </c>
      <c r="K222" t="s">
        <v>983</v>
      </c>
      <c r="L222" t="s">
        <v>913</v>
      </c>
      <c r="M222" t="s">
        <v>1365</v>
      </c>
      <c r="N222" t="s">
        <v>1696</v>
      </c>
      <c r="O222" t="s">
        <v>3325</v>
      </c>
      <c r="P222" t="s">
        <v>3326</v>
      </c>
      <c r="Q222" t="s">
        <v>1399</v>
      </c>
      <c r="R222" t="s">
        <v>983</v>
      </c>
      <c r="S222" t="s">
        <v>913</v>
      </c>
      <c r="T222" t="s">
        <v>1030</v>
      </c>
    </row>
    <row r="223" spans="1:20">
      <c r="A223" t="s">
        <v>84</v>
      </c>
      <c r="B223" t="s">
        <v>1359</v>
      </c>
      <c r="C223" t="s">
        <v>936</v>
      </c>
      <c r="D223" t="s">
        <v>1359</v>
      </c>
      <c r="E223" t="s">
        <v>1793</v>
      </c>
      <c r="F223" t="s">
        <v>1897</v>
      </c>
      <c r="G223" t="s">
        <v>2223</v>
      </c>
      <c r="H223" t="s">
        <v>3993</v>
      </c>
      <c r="I223" t="s">
        <v>3994</v>
      </c>
      <c r="J223" t="s">
        <v>1302</v>
      </c>
      <c r="K223" t="s">
        <v>2350</v>
      </c>
      <c r="L223" t="s">
        <v>1072</v>
      </c>
      <c r="M223" t="s">
        <v>1897</v>
      </c>
      <c r="N223" t="s">
        <v>2223</v>
      </c>
      <c r="O223" t="s">
        <v>3993</v>
      </c>
      <c r="P223" t="s">
        <v>3994</v>
      </c>
      <c r="Q223" t="s">
        <v>1302</v>
      </c>
      <c r="R223" t="s">
        <v>2350</v>
      </c>
      <c r="S223" t="s">
        <v>1072</v>
      </c>
      <c r="T223" t="s">
        <v>653</v>
      </c>
    </row>
    <row r="224" spans="1:20">
      <c r="A224" t="s">
        <v>85</v>
      </c>
      <c r="B224" t="s">
        <v>943</v>
      </c>
      <c r="C224" t="s">
        <v>936</v>
      </c>
      <c r="D224" t="s">
        <v>2814</v>
      </c>
      <c r="E224" t="s">
        <v>943</v>
      </c>
      <c r="F224" t="s">
        <v>944</v>
      </c>
      <c r="G224" t="s">
        <v>2018</v>
      </c>
      <c r="H224" t="s">
        <v>4103</v>
      </c>
      <c r="I224" t="s">
        <v>4082</v>
      </c>
      <c r="J224" t="s">
        <v>565</v>
      </c>
      <c r="K224" t="s">
        <v>823</v>
      </c>
      <c r="L224" t="s">
        <v>1209</v>
      </c>
      <c r="M224" t="s">
        <v>944</v>
      </c>
      <c r="N224" t="s">
        <v>2018</v>
      </c>
      <c r="O224" t="s">
        <v>4103</v>
      </c>
      <c r="P224" t="s">
        <v>4082</v>
      </c>
      <c r="Q224" t="s">
        <v>565</v>
      </c>
      <c r="R224" t="s">
        <v>823</v>
      </c>
      <c r="S224" t="s">
        <v>1209</v>
      </c>
      <c r="T224" t="s">
        <v>944</v>
      </c>
    </row>
    <row r="225" spans="1:20">
      <c r="A225" t="s">
        <v>303</v>
      </c>
      <c r="B225" t="s">
        <v>1336</v>
      </c>
      <c r="C225" t="s">
        <v>936</v>
      </c>
      <c r="D225" t="s">
        <v>2447</v>
      </c>
      <c r="E225" t="s">
        <v>1336</v>
      </c>
      <c r="F225" t="s">
        <v>2247</v>
      </c>
      <c r="G225" t="s">
        <v>2442</v>
      </c>
      <c r="H225" t="s">
        <v>3619</v>
      </c>
      <c r="I225" t="s">
        <v>3620</v>
      </c>
      <c r="J225" t="s">
        <v>1361</v>
      </c>
      <c r="K225" t="s">
        <v>757</v>
      </c>
      <c r="L225" t="s">
        <v>762</v>
      </c>
      <c r="M225" t="s">
        <v>2247</v>
      </c>
      <c r="N225" t="s">
        <v>2442</v>
      </c>
      <c r="O225" t="s">
        <v>3619</v>
      </c>
      <c r="P225" t="s">
        <v>3620</v>
      </c>
      <c r="Q225" t="s">
        <v>1361</v>
      </c>
      <c r="R225" t="s">
        <v>757</v>
      </c>
      <c r="S225" t="s">
        <v>762</v>
      </c>
      <c r="T225" t="s">
        <v>1357</v>
      </c>
    </row>
    <row r="226" spans="1:20">
      <c r="A226" t="s">
        <v>86</v>
      </c>
      <c r="B226" t="s">
        <v>1731</v>
      </c>
      <c r="C226" t="s">
        <v>936</v>
      </c>
      <c r="D226" t="s">
        <v>1204</v>
      </c>
      <c r="E226" t="s">
        <v>1731</v>
      </c>
      <c r="F226" t="s">
        <v>750</v>
      </c>
      <c r="G226" t="s">
        <v>1238</v>
      </c>
      <c r="H226" t="s">
        <v>3995</v>
      </c>
      <c r="I226" t="s">
        <v>3996</v>
      </c>
      <c r="J226" t="s">
        <v>669</v>
      </c>
      <c r="K226" t="s">
        <v>744</v>
      </c>
      <c r="L226" t="s">
        <v>1636</v>
      </c>
      <c r="M226" t="s">
        <v>750</v>
      </c>
      <c r="N226" t="s">
        <v>1238</v>
      </c>
      <c r="O226" t="s">
        <v>3995</v>
      </c>
      <c r="P226" t="s">
        <v>3996</v>
      </c>
      <c r="Q226" t="s">
        <v>669</v>
      </c>
      <c r="R226" t="s">
        <v>744</v>
      </c>
      <c r="S226" t="s">
        <v>1636</v>
      </c>
      <c r="T226" t="s">
        <v>669</v>
      </c>
    </row>
    <row r="227" spans="1:20">
      <c r="A227" t="s">
        <v>304</v>
      </c>
      <c r="B227" t="s">
        <v>2575</v>
      </c>
      <c r="C227" t="s">
        <v>936</v>
      </c>
      <c r="D227" t="s">
        <v>1773</v>
      </c>
      <c r="E227" t="s">
        <v>2575</v>
      </c>
      <c r="F227" t="s">
        <v>1124</v>
      </c>
      <c r="G227" t="s">
        <v>602</v>
      </c>
      <c r="H227" t="s">
        <v>3490</v>
      </c>
      <c r="I227" t="s">
        <v>3491</v>
      </c>
      <c r="J227" t="s">
        <v>1392</v>
      </c>
      <c r="K227" t="s">
        <v>2470</v>
      </c>
      <c r="L227" t="s">
        <v>2021</v>
      </c>
      <c r="M227" t="s">
        <v>1124</v>
      </c>
      <c r="N227" t="s">
        <v>602</v>
      </c>
      <c r="O227" t="s">
        <v>3490</v>
      </c>
      <c r="P227" t="s">
        <v>3491</v>
      </c>
      <c r="Q227" t="s">
        <v>1392</v>
      </c>
      <c r="R227" t="s">
        <v>2470</v>
      </c>
      <c r="S227" t="s">
        <v>2021</v>
      </c>
      <c r="T227" t="s">
        <v>1216</v>
      </c>
    </row>
    <row r="228" spans="1:20">
      <c r="A228" t="s">
        <v>87</v>
      </c>
      <c r="B228" t="s">
        <v>3077</v>
      </c>
      <c r="C228" t="s">
        <v>937</v>
      </c>
      <c r="D228" t="s">
        <v>3077</v>
      </c>
      <c r="E228" t="s">
        <v>3074</v>
      </c>
      <c r="F228" t="s">
        <v>1867</v>
      </c>
      <c r="G228" t="s">
        <v>3096</v>
      </c>
      <c r="H228" t="s">
        <v>3879</v>
      </c>
      <c r="I228" t="s">
        <v>3880</v>
      </c>
      <c r="J228" t="s">
        <v>732</v>
      </c>
      <c r="K228" t="s">
        <v>858</v>
      </c>
      <c r="L228" t="s">
        <v>1303</v>
      </c>
      <c r="M228" t="s">
        <v>1867</v>
      </c>
      <c r="N228" t="s">
        <v>3096</v>
      </c>
      <c r="O228" t="s">
        <v>3879</v>
      </c>
      <c r="P228" t="s">
        <v>3880</v>
      </c>
      <c r="Q228" t="s">
        <v>732</v>
      </c>
      <c r="R228" t="s">
        <v>858</v>
      </c>
      <c r="S228" t="s">
        <v>1303</v>
      </c>
      <c r="T228" t="s">
        <v>1913</v>
      </c>
    </row>
    <row r="229" spans="1:20">
      <c r="A229" t="s">
        <v>305</v>
      </c>
      <c r="B229" t="s">
        <v>3145</v>
      </c>
      <c r="C229" t="s">
        <v>936</v>
      </c>
      <c r="D229" t="s">
        <v>3156</v>
      </c>
      <c r="E229" t="s">
        <v>3145</v>
      </c>
      <c r="F229" t="s">
        <v>2250</v>
      </c>
      <c r="G229" t="s">
        <v>1750</v>
      </c>
      <c r="H229" t="s">
        <v>3681</v>
      </c>
      <c r="I229">
        <v>740.46600000000001</v>
      </c>
      <c r="J229" t="s">
        <v>1139</v>
      </c>
      <c r="K229" t="s">
        <v>856</v>
      </c>
      <c r="L229" t="s">
        <v>643</v>
      </c>
      <c r="M229" t="s">
        <v>2250</v>
      </c>
      <c r="N229" t="s">
        <v>1750</v>
      </c>
      <c r="O229" t="s">
        <v>3681</v>
      </c>
      <c r="P229">
        <v>740.46600000000001</v>
      </c>
      <c r="Q229" t="s">
        <v>1139</v>
      </c>
      <c r="R229" t="s">
        <v>856</v>
      </c>
      <c r="S229" t="s">
        <v>643</v>
      </c>
      <c r="T229" t="s">
        <v>1750</v>
      </c>
    </row>
    <row r="230" spans="1:20">
      <c r="A230" t="s">
        <v>88</v>
      </c>
      <c r="B230" t="s">
        <v>2361</v>
      </c>
      <c r="C230" t="s">
        <v>937</v>
      </c>
      <c r="D230" t="s">
        <v>2538</v>
      </c>
      <c r="E230" t="s">
        <v>2361</v>
      </c>
      <c r="F230" t="s">
        <v>2261</v>
      </c>
      <c r="G230" t="s">
        <v>874</v>
      </c>
      <c r="H230" t="s">
        <v>3997</v>
      </c>
      <c r="I230" t="s">
        <v>3998</v>
      </c>
      <c r="J230" t="s">
        <v>874</v>
      </c>
      <c r="K230" t="s">
        <v>747</v>
      </c>
      <c r="L230" t="s">
        <v>2857</v>
      </c>
      <c r="M230" t="s">
        <v>2261</v>
      </c>
      <c r="N230" t="s">
        <v>874</v>
      </c>
      <c r="O230" t="s">
        <v>3997</v>
      </c>
      <c r="P230" t="s">
        <v>3998</v>
      </c>
      <c r="Q230" t="s">
        <v>874</v>
      </c>
      <c r="R230" t="s">
        <v>747</v>
      </c>
      <c r="S230" t="s">
        <v>2857</v>
      </c>
      <c r="T230" t="s">
        <v>665</v>
      </c>
    </row>
    <row r="231" spans="1:20">
      <c r="A231" t="s">
        <v>564</v>
      </c>
      <c r="B231" t="s">
        <v>2890</v>
      </c>
      <c r="C231" t="s">
        <v>936</v>
      </c>
      <c r="D231" t="s">
        <v>2844</v>
      </c>
      <c r="E231" t="s">
        <v>2890</v>
      </c>
      <c r="F231" t="s">
        <v>2019</v>
      </c>
      <c r="G231" t="s">
        <v>2738</v>
      </c>
      <c r="H231" t="s">
        <v>3881</v>
      </c>
      <c r="I231" t="s">
        <v>3882</v>
      </c>
      <c r="J231" t="s">
        <v>1498</v>
      </c>
      <c r="K231" t="s">
        <v>2572</v>
      </c>
      <c r="L231" t="s">
        <v>2903</v>
      </c>
      <c r="M231" t="s">
        <v>2019</v>
      </c>
      <c r="N231" t="s">
        <v>2738</v>
      </c>
      <c r="O231" t="s">
        <v>3881</v>
      </c>
      <c r="P231" t="s">
        <v>3882</v>
      </c>
      <c r="Q231" t="s">
        <v>1498</v>
      </c>
      <c r="R231" t="s">
        <v>2572</v>
      </c>
      <c r="S231" t="s">
        <v>2903</v>
      </c>
      <c r="T231" t="s">
        <v>1800</v>
      </c>
    </row>
    <row r="232" spans="1:20">
      <c r="A232" t="s">
        <v>306</v>
      </c>
      <c r="B232" t="s">
        <v>2178</v>
      </c>
      <c r="C232" t="s">
        <v>937</v>
      </c>
      <c r="D232" t="s">
        <v>559</v>
      </c>
      <c r="E232" t="s">
        <v>2178</v>
      </c>
      <c r="F232" t="s">
        <v>1379</v>
      </c>
      <c r="G232" t="s">
        <v>2251</v>
      </c>
      <c r="H232" t="s">
        <v>3792</v>
      </c>
      <c r="I232">
        <v>139.501</v>
      </c>
      <c r="J232" t="s">
        <v>1378</v>
      </c>
      <c r="K232" t="s">
        <v>2174</v>
      </c>
      <c r="L232" t="s">
        <v>1754</v>
      </c>
      <c r="M232" t="s">
        <v>1379</v>
      </c>
      <c r="N232" t="s">
        <v>2251</v>
      </c>
      <c r="O232" t="s">
        <v>3792</v>
      </c>
      <c r="P232">
        <v>139.501</v>
      </c>
      <c r="Q232" t="s">
        <v>1378</v>
      </c>
      <c r="R232" t="s">
        <v>2174</v>
      </c>
      <c r="S232" t="s">
        <v>1754</v>
      </c>
      <c r="T232" t="s">
        <v>1751</v>
      </c>
    </row>
    <row r="233" spans="1:20">
      <c r="A233" t="s">
        <v>307</v>
      </c>
      <c r="B233" t="s">
        <v>966</v>
      </c>
      <c r="C233" t="s">
        <v>937</v>
      </c>
      <c r="D233" t="s">
        <v>966</v>
      </c>
      <c r="E233" t="s">
        <v>2302</v>
      </c>
      <c r="F233" t="s">
        <v>2416</v>
      </c>
      <c r="G233" t="s">
        <v>2020</v>
      </c>
      <c r="H233" t="s">
        <v>3658</v>
      </c>
      <c r="I233" t="s">
        <v>3659</v>
      </c>
      <c r="J233" t="s">
        <v>966</v>
      </c>
      <c r="K233" t="s">
        <v>804</v>
      </c>
      <c r="L233" t="s">
        <v>804</v>
      </c>
      <c r="M233" t="s">
        <v>2416</v>
      </c>
      <c r="N233" t="s">
        <v>2020</v>
      </c>
      <c r="O233" t="s">
        <v>3658</v>
      </c>
      <c r="P233" t="s">
        <v>3659</v>
      </c>
      <c r="Q233" t="s">
        <v>966</v>
      </c>
      <c r="R233" t="s">
        <v>804</v>
      </c>
      <c r="S233" t="s">
        <v>804</v>
      </c>
      <c r="T233" t="s">
        <v>966</v>
      </c>
    </row>
    <row r="234" spans="1:20">
      <c r="A234" t="s">
        <v>308</v>
      </c>
      <c r="B234" t="s">
        <v>2210</v>
      </c>
      <c r="C234" t="s">
        <v>937</v>
      </c>
      <c r="D234" t="s">
        <v>2210</v>
      </c>
      <c r="E234" t="s">
        <v>1778</v>
      </c>
      <c r="F234" t="s">
        <v>900</v>
      </c>
      <c r="G234" t="s">
        <v>2509</v>
      </c>
      <c r="H234" t="s">
        <v>3748</v>
      </c>
      <c r="I234" t="s">
        <v>3749</v>
      </c>
      <c r="J234" t="s">
        <v>860</v>
      </c>
      <c r="K234" t="s">
        <v>772</v>
      </c>
      <c r="L234" t="s">
        <v>2668</v>
      </c>
      <c r="M234" t="s">
        <v>900</v>
      </c>
      <c r="N234" t="s">
        <v>2509</v>
      </c>
      <c r="O234" t="s">
        <v>3748</v>
      </c>
      <c r="P234" t="s">
        <v>3749</v>
      </c>
      <c r="Q234" t="s">
        <v>860</v>
      </c>
      <c r="R234" t="s">
        <v>772</v>
      </c>
      <c r="S234" t="s">
        <v>2668</v>
      </c>
      <c r="T234" t="s">
        <v>2022</v>
      </c>
    </row>
    <row r="235" spans="1:20">
      <c r="A235" t="s">
        <v>89</v>
      </c>
      <c r="B235" t="s">
        <v>2509</v>
      </c>
      <c r="C235" t="s">
        <v>937</v>
      </c>
      <c r="D235" t="s">
        <v>2509</v>
      </c>
      <c r="E235" t="s">
        <v>2210</v>
      </c>
      <c r="F235" t="s">
        <v>1088</v>
      </c>
      <c r="G235" t="s">
        <v>918</v>
      </c>
      <c r="H235" t="s">
        <v>3327</v>
      </c>
      <c r="I235" t="s">
        <v>3328</v>
      </c>
      <c r="J235" t="s">
        <v>1154</v>
      </c>
      <c r="K235" t="s">
        <v>785</v>
      </c>
      <c r="L235" t="s">
        <v>3116</v>
      </c>
      <c r="M235" t="s">
        <v>1088</v>
      </c>
      <c r="N235" t="s">
        <v>918</v>
      </c>
      <c r="O235" t="s">
        <v>3327</v>
      </c>
      <c r="P235" t="s">
        <v>3328</v>
      </c>
      <c r="Q235" t="s">
        <v>1154</v>
      </c>
      <c r="R235" t="s">
        <v>785</v>
      </c>
      <c r="S235" t="s">
        <v>3116</v>
      </c>
      <c r="T235" t="s">
        <v>1196</v>
      </c>
    </row>
    <row r="236" spans="1:20">
      <c r="A236" t="s">
        <v>309</v>
      </c>
      <c r="B236" t="s">
        <v>3038</v>
      </c>
      <c r="C236" t="s">
        <v>936</v>
      </c>
      <c r="D236" t="s">
        <v>2991</v>
      </c>
      <c r="E236" t="s">
        <v>3038</v>
      </c>
      <c r="F236" t="s">
        <v>2239</v>
      </c>
      <c r="G236" t="s">
        <v>2252</v>
      </c>
      <c r="H236" t="s">
        <v>3999</v>
      </c>
      <c r="I236">
        <v>712.87900000000002</v>
      </c>
      <c r="J236" t="s">
        <v>1020</v>
      </c>
      <c r="K236" t="s">
        <v>753</v>
      </c>
      <c r="L236" t="s">
        <v>745</v>
      </c>
      <c r="M236" t="s">
        <v>2239</v>
      </c>
      <c r="N236" t="s">
        <v>2252</v>
      </c>
      <c r="O236" t="s">
        <v>3999</v>
      </c>
      <c r="P236">
        <v>712.87900000000002</v>
      </c>
      <c r="Q236" t="s">
        <v>1020</v>
      </c>
      <c r="R236" t="s">
        <v>753</v>
      </c>
      <c r="S236" t="s">
        <v>745</v>
      </c>
      <c r="T236" t="s">
        <v>1020</v>
      </c>
    </row>
    <row r="237" spans="1:20">
      <c r="A237" t="s">
        <v>310</v>
      </c>
      <c r="B237" t="s">
        <v>1507</v>
      </c>
      <c r="C237" t="s">
        <v>937</v>
      </c>
      <c r="D237" t="s">
        <v>1507</v>
      </c>
      <c r="E237" t="s">
        <v>2083</v>
      </c>
      <c r="F237" t="s">
        <v>2000</v>
      </c>
      <c r="G237" t="s">
        <v>2026</v>
      </c>
      <c r="H237" t="s">
        <v>3254</v>
      </c>
      <c r="I237" t="s">
        <v>3255</v>
      </c>
      <c r="J237" t="s">
        <v>1501</v>
      </c>
      <c r="K237" t="s">
        <v>920</v>
      </c>
      <c r="L237" t="s">
        <v>2834</v>
      </c>
      <c r="M237" t="s">
        <v>2000</v>
      </c>
      <c r="N237" t="s">
        <v>2026</v>
      </c>
      <c r="O237" t="s">
        <v>3254</v>
      </c>
      <c r="P237" t="s">
        <v>3255</v>
      </c>
      <c r="Q237" t="s">
        <v>1501</v>
      </c>
      <c r="R237" t="s">
        <v>920</v>
      </c>
      <c r="S237" t="s">
        <v>2834</v>
      </c>
      <c r="T237" t="s">
        <v>1886</v>
      </c>
    </row>
    <row r="238" spans="1:20">
      <c r="A238" t="s">
        <v>430</v>
      </c>
      <c r="C238" t="s">
        <v>938</v>
      </c>
    </row>
    <row r="239" spans="1:20">
      <c r="A239" t="s">
        <v>431</v>
      </c>
      <c r="B239" t="s">
        <v>2872</v>
      </c>
      <c r="C239" t="s">
        <v>937</v>
      </c>
      <c r="D239" t="s">
        <v>2705</v>
      </c>
      <c r="E239" t="s">
        <v>2872</v>
      </c>
      <c r="F239" t="s">
        <v>2023</v>
      </c>
      <c r="G239" t="s">
        <v>2024</v>
      </c>
      <c r="H239" t="s">
        <v>3256</v>
      </c>
      <c r="I239">
        <v>527.24199999999996</v>
      </c>
      <c r="J239" t="s">
        <v>625</v>
      </c>
      <c r="K239" t="s">
        <v>890</v>
      </c>
      <c r="L239" t="s">
        <v>2580</v>
      </c>
      <c r="M239" t="s">
        <v>2023</v>
      </c>
      <c r="N239" t="s">
        <v>2024</v>
      </c>
      <c r="O239" t="s">
        <v>3256</v>
      </c>
      <c r="P239">
        <v>527.24199999999996</v>
      </c>
      <c r="Q239" t="s">
        <v>625</v>
      </c>
      <c r="R239" t="s">
        <v>890</v>
      </c>
      <c r="S239" t="s">
        <v>2580</v>
      </c>
      <c r="T239" t="s">
        <v>1038</v>
      </c>
    </row>
    <row r="240" spans="1:20">
      <c r="A240" t="s">
        <v>90</v>
      </c>
      <c r="B240" t="s">
        <v>2253</v>
      </c>
      <c r="C240" t="s">
        <v>937</v>
      </c>
      <c r="D240" t="s">
        <v>2578</v>
      </c>
      <c r="E240" t="s">
        <v>2253</v>
      </c>
      <c r="F240" t="s">
        <v>2134</v>
      </c>
      <c r="G240" t="s">
        <v>1377</v>
      </c>
      <c r="H240" t="s">
        <v>4000</v>
      </c>
      <c r="I240" t="s">
        <v>4001</v>
      </c>
      <c r="J240" t="s">
        <v>731</v>
      </c>
      <c r="K240" t="s">
        <v>744</v>
      </c>
      <c r="L240" t="s">
        <v>856</v>
      </c>
      <c r="M240" t="s">
        <v>2134</v>
      </c>
      <c r="N240" t="s">
        <v>1377</v>
      </c>
      <c r="O240" t="s">
        <v>4000</v>
      </c>
      <c r="P240" t="s">
        <v>4001</v>
      </c>
      <c r="Q240" t="s">
        <v>731</v>
      </c>
      <c r="R240" t="s">
        <v>744</v>
      </c>
      <c r="S240" t="s">
        <v>856</v>
      </c>
      <c r="T240" t="s">
        <v>731</v>
      </c>
    </row>
    <row r="241" spans="1:20">
      <c r="A241" t="s">
        <v>311</v>
      </c>
      <c r="B241" t="s">
        <v>2314</v>
      </c>
      <c r="C241" t="s">
        <v>937</v>
      </c>
      <c r="D241" t="s">
        <v>2793</v>
      </c>
      <c r="E241" t="s">
        <v>2314</v>
      </c>
      <c r="F241" t="s">
        <v>2405</v>
      </c>
      <c r="G241" t="s">
        <v>1593</v>
      </c>
      <c r="H241" t="s">
        <v>3257</v>
      </c>
      <c r="I241" t="s">
        <v>3258</v>
      </c>
      <c r="J241" t="s">
        <v>1369</v>
      </c>
      <c r="K241" t="s">
        <v>882</v>
      </c>
      <c r="L241" t="s">
        <v>916</v>
      </c>
      <c r="M241" t="s">
        <v>2405</v>
      </c>
      <c r="N241" t="s">
        <v>1593</v>
      </c>
      <c r="O241" t="s">
        <v>3257</v>
      </c>
      <c r="P241" t="s">
        <v>3258</v>
      </c>
      <c r="Q241" t="s">
        <v>1369</v>
      </c>
      <c r="R241" t="s">
        <v>882</v>
      </c>
      <c r="S241" t="s">
        <v>916</v>
      </c>
      <c r="T241" t="s">
        <v>1369</v>
      </c>
    </row>
    <row r="242" spans="1:20">
      <c r="A242" t="s">
        <v>91</v>
      </c>
      <c r="B242" t="s">
        <v>705</v>
      </c>
      <c r="C242" t="s">
        <v>937</v>
      </c>
      <c r="E242" t="s">
        <v>705</v>
      </c>
      <c r="F242" t="s">
        <v>587</v>
      </c>
      <c r="G242" t="s">
        <v>705</v>
      </c>
      <c r="H242" t="s">
        <v>3723</v>
      </c>
      <c r="I242" t="s">
        <v>3724</v>
      </c>
      <c r="J242" t="s">
        <v>979</v>
      </c>
      <c r="K242" t="s">
        <v>2268</v>
      </c>
      <c r="L242" t="s">
        <v>2511</v>
      </c>
      <c r="M242" t="s">
        <v>587</v>
      </c>
      <c r="N242" t="s">
        <v>705</v>
      </c>
      <c r="O242" t="s">
        <v>3723</v>
      </c>
      <c r="P242" t="s">
        <v>3724</v>
      </c>
      <c r="Q242" t="s">
        <v>979</v>
      </c>
      <c r="R242" t="s">
        <v>2268</v>
      </c>
      <c r="S242" t="s">
        <v>2511</v>
      </c>
      <c r="T242" t="s">
        <v>715</v>
      </c>
    </row>
    <row r="243" spans="1:20">
      <c r="A243" t="s">
        <v>92</v>
      </c>
      <c r="B243" t="s">
        <v>916</v>
      </c>
      <c r="C243" t="s">
        <v>937</v>
      </c>
      <c r="D243" t="s">
        <v>916</v>
      </c>
      <c r="E243" t="s">
        <v>1176</v>
      </c>
      <c r="F243" t="s">
        <v>1672</v>
      </c>
      <c r="G243" t="s">
        <v>955</v>
      </c>
      <c r="H243" t="s">
        <v>3883</v>
      </c>
      <c r="I243" t="s">
        <v>3884</v>
      </c>
      <c r="J243" t="s">
        <v>955</v>
      </c>
      <c r="K243" t="s">
        <v>753</v>
      </c>
      <c r="L243" t="s">
        <v>911</v>
      </c>
      <c r="M243" t="s">
        <v>1672</v>
      </c>
      <c r="N243" t="s">
        <v>955</v>
      </c>
      <c r="O243" t="s">
        <v>3883</v>
      </c>
      <c r="P243" t="s">
        <v>3884</v>
      </c>
      <c r="Q243" t="s">
        <v>955</v>
      </c>
      <c r="R243" t="s">
        <v>753</v>
      </c>
      <c r="S243" t="s">
        <v>911</v>
      </c>
      <c r="T243" t="s">
        <v>955</v>
      </c>
    </row>
    <row r="244" spans="1:20">
      <c r="A244" t="s">
        <v>93</v>
      </c>
      <c r="B244" t="s">
        <v>796</v>
      </c>
      <c r="C244" t="s">
        <v>936</v>
      </c>
      <c r="D244" t="s">
        <v>553</v>
      </c>
      <c r="E244" t="s">
        <v>796</v>
      </c>
      <c r="F244" t="s">
        <v>1794</v>
      </c>
      <c r="G244" t="s">
        <v>864</v>
      </c>
      <c r="H244" t="s">
        <v>3793</v>
      </c>
      <c r="I244" t="s">
        <v>3794</v>
      </c>
      <c r="J244" t="s">
        <v>1021</v>
      </c>
      <c r="K244" t="s">
        <v>788</v>
      </c>
      <c r="L244" t="s">
        <v>2491</v>
      </c>
      <c r="M244" t="s">
        <v>1794</v>
      </c>
      <c r="N244" t="s">
        <v>864</v>
      </c>
      <c r="O244" t="s">
        <v>3793</v>
      </c>
      <c r="P244" t="s">
        <v>3794</v>
      </c>
      <c r="Q244" t="s">
        <v>1021</v>
      </c>
      <c r="R244" t="s">
        <v>788</v>
      </c>
      <c r="S244" t="s">
        <v>2491</v>
      </c>
      <c r="T244" t="s">
        <v>1021</v>
      </c>
    </row>
    <row r="245" spans="1:20">
      <c r="A245" t="s">
        <v>312</v>
      </c>
      <c r="B245" t="s">
        <v>673</v>
      </c>
      <c r="C245" t="s">
        <v>936</v>
      </c>
      <c r="D245" t="s">
        <v>1733</v>
      </c>
      <c r="E245" t="s">
        <v>673</v>
      </c>
      <c r="F245" t="s">
        <v>821</v>
      </c>
      <c r="G245" t="s">
        <v>1733</v>
      </c>
      <c r="H245" t="s">
        <v>3795</v>
      </c>
      <c r="I245" t="s">
        <v>3796</v>
      </c>
      <c r="J245" t="s">
        <v>673</v>
      </c>
      <c r="K245" t="s">
        <v>804</v>
      </c>
      <c r="L245" t="s">
        <v>804</v>
      </c>
      <c r="M245" t="s">
        <v>821</v>
      </c>
      <c r="N245" t="s">
        <v>1733</v>
      </c>
      <c r="O245" t="s">
        <v>3795</v>
      </c>
      <c r="P245" t="s">
        <v>3796</v>
      </c>
      <c r="Q245" t="s">
        <v>673</v>
      </c>
      <c r="R245" t="s">
        <v>804</v>
      </c>
      <c r="S245" t="s">
        <v>804</v>
      </c>
      <c r="T245" t="s">
        <v>673</v>
      </c>
    </row>
    <row r="246" spans="1:20">
      <c r="A246" t="s">
        <v>94</v>
      </c>
      <c r="B246" t="s">
        <v>827</v>
      </c>
      <c r="C246" t="s">
        <v>936</v>
      </c>
      <c r="D246" t="s">
        <v>827</v>
      </c>
      <c r="E246" t="s">
        <v>2729</v>
      </c>
      <c r="F246" t="s">
        <v>1295</v>
      </c>
      <c r="G246" t="s">
        <v>1106</v>
      </c>
      <c r="H246" t="s">
        <v>3592</v>
      </c>
      <c r="I246" t="s">
        <v>3593</v>
      </c>
      <c r="J246" t="s">
        <v>933</v>
      </c>
      <c r="K246" t="s">
        <v>749</v>
      </c>
      <c r="L246" t="s">
        <v>2515</v>
      </c>
      <c r="M246" t="s">
        <v>1295</v>
      </c>
      <c r="N246" t="s">
        <v>1106</v>
      </c>
      <c r="O246" t="s">
        <v>3592</v>
      </c>
      <c r="P246" t="s">
        <v>3593</v>
      </c>
      <c r="Q246" t="s">
        <v>933</v>
      </c>
      <c r="R246" t="s">
        <v>749</v>
      </c>
      <c r="S246" t="s">
        <v>2515</v>
      </c>
      <c r="T246" t="s">
        <v>933</v>
      </c>
    </row>
    <row r="247" spans="1:20">
      <c r="A247" t="s">
        <v>313</v>
      </c>
      <c r="B247" t="s">
        <v>2648</v>
      </c>
      <c r="C247" t="s">
        <v>936</v>
      </c>
      <c r="D247" t="s">
        <v>2671</v>
      </c>
      <c r="E247" t="s">
        <v>2648</v>
      </c>
      <c r="F247" t="s">
        <v>610</v>
      </c>
      <c r="G247" t="s">
        <v>2027</v>
      </c>
      <c r="H247" t="s">
        <v>3510</v>
      </c>
      <c r="I247" t="s">
        <v>3511</v>
      </c>
      <c r="J247" t="s">
        <v>987</v>
      </c>
      <c r="K247" t="s">
        <v>881</v>
      </c>
      <c r="L247" t="s">
        <v>1066</v>
      </c>
      <c r="M247" t="s">
        <v>610</v>
      </c>
      <c r="N247" t="s">
        <v>2027</v>
      </c>
      <c r="O247" t="s">
        <v>3510</v>
      </c>
      <c r="P247" t="s">
        <v>3511</v>
      </c>
      <c r="Q247" t="s">
        <v>987</v>
      </c>
      <c r="R247" t="s">
        <v>881</v>
      </c>
      <c r="S247" t="s">
        <v>1066</v>
      </c>
      <c r="T247" t="s">
        <v>2027</v>
      </c>
    </row>
    <row r="248" spans="1:20">
      <c r="A248" t="s">
        <v>95</v>
      </c>
      <c r="B248" t="s">
        <v>2768</v>
      </c>
      <c r="C248" t="s">
        <v>937</v>
      </c>
      <c r="D248" t="s">
        <v>3082</v>
      </c>
      <c r="E248" t="s">
        <v>2768</v>
      </c>
      <c r="F248" t="s">
        <v>1163</v>
      </c>
      <c r="G248" t="s">
        <v>2255</v>
      </c>
      <c r="H248" t="s">
        <v>3797</v>
      </c>
      <c r="I248" t="s">
        <v>3798</v>
      </c>
      <c r="J248" t="s">
        <v>595</v>
      </c>
      <c r="K248" t="s">
        <v>819</v>
      </c>
      <c r="L248" t="s">
        <v>2542</v>
      </c>
      <c r="M248" t="s">
        <v>1163</v>
      </c>
      <c r="N248" t="s">
        <v>2255</v>
      </c>
      <c r="O248" t="s">
        <v>3797</v>
      </c>
      <c r="P248" t="s">
        <v>3798</v>
      </c>
      <c r="Q248" t="s">
        <v>595</v>
      </c>
      <c r="R248" t="s">
        <v>819</v>
      </c>
      <c r="S248" t="s">
        <v>2542</v>
      </c>
      <c r="T248" t="s">
        <v>997</v>
      </c>
    </row>
    <row r="249" spans="1:20">
      <c r="A249" t="s">
        <v>96</v>
      </c>
      <c r="B249" t="s">
        <v>2149</v>
      </c>
      <c r="C249" t="s">
        <v>936</v>
      </c>
      <c r="D249" t="s">
        <v>2858</v>
      </c>
      <c r="E249" t="s">
        <v>2149</v>
      </c>
      <c r="F249" t="s">
        <v>2949</v>
      </c>
      <c r="G249" t="s">
        <v>676</v>
      </c>
      <c r="H249" t="s">
        <v>3259</v>
      </c>
      <c r="I249" t="s">
        <v>3260</v>
      </c>
      <c r="J249" t="s">
        <v>1499</v>
      </c>
      <c r="K249" t="s">
        <v>1621</v>
      </c>
      <c r="L249" t="s">
        <v>1614</v>
      </c>
      <c r="M249" t="s">
        <v>2949</v>
      </c>
      <c r="N249" t="s">
        <v>676</v>
      </c>
      <c r="O249" t="s">
        <v>3259</v>
      </c>
      <c r="P249" t="s">
        <v>3260</v>
      </c>
      <c r="Q249" t="s">
        <v>1499</v>
      </c>
      <c r="R249" t="s">
        <v>1621</v>
      </c>
      <c r="S249" t="s">
        <v>1614</v>
      </c>
      <c r="T249" t="s">
        <v>1499</v>
      </c>
    </row>
    <row r="250" spans="1:20">
      <c r="A250" t="s">
        <v>314</v>
      </c>
      <c r="B250" t="s">
        <v>2750</v>
      </c>
      <c r="C250" t="s">
        <v>936</v>
      </c>
      <c r="D250" t="s">
        <v>3200</v>
      </c>
      <c r="E250" t="s">
        <v>2750</v>
      </c>
      <c r="F250" t="s">
        <v>2168</v>
      </c>
      <c r="G250" t="s">
        <v>1504</v>
      </c>
      <c r="H250" t="s">
        <v>3261</v>
      </c>
      <c r="I250">
        <v>54.384999999999998</v>
      </c>
      <c r="J250" t="s">
        <v>1504</v>
      </c>
      <c r="K250" t="s">
        <v>589</v>
      </c>
      <c r="L250" t="s">
        <v>2532</v>
      </c>
      <c r="M250" t="s">
        <v>2168</v>
      </c>
      <c r="N250" t="s">
        <v>1504</v>
      </c>
      <c r="O250" t="s">
        <v>3261</v>
      </c>
      <c r="P250">
        <v>54.384999999999998</v>
      </c>
      <c r="Q250" t="s">
        <v>1504</v>
      </c>
      <c r="R250" t="s">
        <v>589</v>
      </c>
      <c r="S250" t="s">
        <v>2532</v>
      </c>
      <c r="T250" t="s">
        <v>1504</v>
      </c>
    </row>
    <row r="251" spans="1:20">
      <c r="A251" t="s">
        <v>97</v>
      </c>
      <c r="B251" t="s">
        <v>3224</v>
      </c>
      <c r="C251" t="s">
        <v>937</v>
      </c>
      <c r="D251" t="s">
        <v>3224</v>
      </c>
      <c r="E251" t="s">
        <v>3192</v>
      </c>
      <c r="F251" t="s">
        <v>2256</v>
      </c>
      <c r="G251" t="s">
        <v>1862</v>
      </c>
      <c r="H251" t="s">
        <v>3329</v>
      </c>
      <c r="I251">
        <v>61.066000000000003</v>
      </c>
      <c r="J251" t="s">
        <v>1505</v>
      </c>
      <c r="K251" t="s">
        <v>955</v>
      </c>
      <c r="L251" t="s">
        <v>1210</v>
      </c>
      <c r="M251" t="s">
        <v>2256</v>
      </c>
      <c r="N251" t="s">
        <v>1862</v>
      </c>
      <c r="O251" t="s">
        <v>3329</v>
      </c>
      <c r="P251">
        <v>61.066000000000003</v>
      </c>
      <c r="Q251" t="s">
        <v>1505</v>
      </c>
      <c r="R251" t="s">
        <v>955</v>
      </c>
      <c r="S251" t="s">
        <v>1210</v>
      </c>
      <c r="T251" t="s">
        <v>1862</v>
      </c>
    </row>
    <row r="252" spans="1:20">
      <c r="A252" t="s">
        <v>315</v>
      </c>
      <c r="B252" t="s">
        <v>2635</v>
      </c>
      <c r="C252" t="s">
        <v>936</v>
      </c>
      <c r="D252" t="s">
        <v>2693</v>
      </c>
      <c r="E252" t="s">
        <v>2635</v>
      </c>
      <c r="F252" t="s">
        <v>1307</v>
      </c>
      <c r="G252" t="s">
        <v>1310</v>
      </c>
      <c r="H252" t="s">
        <v>3492</v>
      </c>
      <c r="I252" t="s">
        <v>3493</v>
      </c>
      <c r="J252" t="s">
        <v>989</v>
      </c>
      <c r="K252" t="s">
        <v>1238</v>
      </c>
      <c r="L252" t="s">
        <v>1104</v>
      </c>
      <c r="M252" t="s">
        <v>1307</v>
      </c>
      <c r="N252" t="s">
        <v>1310</v>
      </c>
      <c r="O252" t="s">
        <v>3492</v>
      </c>
      <c r="P252" t="s">
        <v>3493</v>
      </c>
      <c r="Q252" t="s">
        <v>989</v>
      </c>
      <c r="R252" t="s">
        <v>1238</v>
      </c>
      <c r="S252" t="s">
        <v>1104</v>
      </c>
      <c r="T252" t="s">
        <v>1732</v>
      </c>
    </row>
    <row r="253" spans="1:20">
      <c r="A253" t="s">
        <v>316</v>
      </c>
      <c r="B253" t="s">
        <v>1118</v>
      </c>
      <c r="C253" t="s">
        <v>937</v>
      </c>
      <c r="D253" t="s">
        <v>1118</v>
      </c>
      <c r="E253" t="s">
        <v>2258</v>
      </c>
      <c r="F253" t="s">
        <v>2259</v>
      </c>
      <c r="G253" t="s">
        <v>2030</v>
      </c>
      <c r="H253" t="s">
        <v>3262</v>
      </c>
      <c r="I253">
        <v>80.087000000000003</v>
      </c>
      <c r="J253" t="s">
        <v>1118</v>
      </c>
      <c r="K253" t="s">
        <v>804</v>
      </c>
      <c r="L253" t="s">
        <v>804</v>
      </c>
      <c r="M253" t="s">
        <v>2259</v>
      </c>
      <c r="N253" t="s">
        <v>2030</v>
      </c>
      <c r="O253" t="s">
        <v>3262</v>
      </c>
      <c r="P253">
        <v>80.087000000000003</v>
      </c>
      <c r="Q253" t="s">
        <v>1118</v>
      </c>
      <c r="R253" t="s">
        <v>804</v>
      </c>
      <c r="S253" t="s">
        <v>804</v>
      </c>
      <c r="T253" t="s">
        <v>2029</v>
      </c>
    </row>
    <row r="254" spans="1:20">
      <c r="A254" t="s">
        <v>98</v>
      </c>
      <c r="B254" t="s">
        <v>1813</v>
      </c>
      <c r="C254" t="s">
        <v>936</v>
      </c>
      <c r="D254" t="s">
        <v>2364</v>
      </c>
      <c r="E254" t="s">
        <v>1813</v>
      </c>
      <c r="F254" t="s">
        <v>561</v>
      </c>
      <c r="G254" t="s">
        <v>1253</v>
      </c>
      <c r="H254" t="s">
        <v>3799</v>
      </c>
      <c r="I254" t="s">
        <v>3800</v>
      </c>
      <c r="J254" t="s">
        <v>1256</v>
      </c>
      <c r="K254" t="s">
        <v>833</v>
      </c>
      <c r="L254" t="s">
        <v>1618</v>
      </c>
      <c r="M254" t="s">
        <v>561</v>
      </c>
      <c r="N254" t="s">
        <v>1253</v>
      </c>
      <c r="O254" t="s">
        <v>3799</v>
      </c>
      <c r="P254" t="s">
        <v>3800</v>
      </c>
      <c r="Q254" t="s">
        <v>1256</v>
      </c>
      <c r="R254" t="s">
        <v>833</v>
      </c>
      <c r="S254" t="s">
        <v>1618</v>
      </c>
      <c r="T254" t="s">
        <v>1805</v>
      </c>
    </row>
    <row r="255" spans="1:20">
      <c r="A255" t="s">
        <v>432</v>
      </c>
      <c r="B255" t="s">
        <v>678</v>
      </c>
      <c r="C255" t="s">
        <v>936</v>
      </c>
      <c r="D255" t="s">
        <v>4096</v>
      </c>
      <c r="J255" t="s">
        <v>678</v>
      </c>
      <c r="K255" t="s">
        <v>902</v>
      </c>
      <c r="L255" t="s">
        <v>804</v>
      </c>
      <c r="Q255" t="s">
        <v>678</v>
      </c>
      <c r="R255" t="s">
        <v>902</v>
      </c>
      <c r="S255" t="s">
        <v>804</v>
      </c>
    </row>
    <row r="256" spans="1:20">
      <c r="A256" t="s">
        <v>433</v>
      </c>
      <c r="B256" t="s">
        <v>3147</v>
      </c>
      <c r="C256" t="s">
        <v>936</v>
      </c>
      <c r="D256" t="s">
        <v>3147</v>
      </c>
      <c r="E256" t="s">
        <v>3148</v>
      </c>
      <c r="F256" t="s">
        <v>3147</v>
      </c>
      <c r="G256" t="s">
        <v>3147</v>
      </c>
      <c r="H256" t="s">
        <v>3330</v>
      </c>
      <c r="I256">
        <v>3</v>
      </c>
      <c r="J256" t="s">
        <v>733</v>
      </c>
      <c r="K256" t="s">
        <v>3149</v>
      </c>
      <c r="L256" t="s">
        <v>3150</v>
      </c>
      <c r="M256" t="s">
        <v>3147</v>
      </c>
      <c r="N256" t="s">
        <v>3147</v>
      </c>
      <c r="O256" t="s">
        <v>3330</v>
      </c>
      <c r="P256">
        <v>3</v>
      </c>
      <c r="Q256" t="s">
        <v>733</v>
      </c>
      <c r="R256" t="s">
        <v>3149</v>
      </c>
      <c r="S256" t="s">
        <v>3150</v>
      </c>
      <c r="T256" t="s">
        <v>3147</v>
      </c>
    </row>
    <row r="257" spans="1:20">
      <c r="A257" t="s">
        <v>99</v>
      </c>
      <c r="B257" t="s">
        <v>3091</v>
      </c>
      <c r="C257" t="s">
        <v>936</v>
      </c>
      <c r="D257" t="s">
        <v>993</v>
      </c>
      <c r="E257" t="s">
        <v>3091</v>
      </c>
      <c r="F257" t="s">
        <v>657</v>
      </c>
      <c r="G257" t="s">
        <v>2686</v>
      </c>
      <c r="H257" t="s">
        <v>4104</v>
      </c>
      <c r="I257" t="s">
        <v>4083</v>
      </c>
      <c r="J257" t="s">
        <v>1206</v>
      </c>
      <c r="K257" t="s">
        <v>886</v>
      </c>
      <c r="L257" t="s">
        <v>3080</v>
      </c>
      <c r="M257" t="s">
        <v>657</v>
      </c>
      <c r="N257" t="s">
        <v>2686</v>
      </c>
      <c r="O257" t="s">
        <v>4104</v>
      </c>
      <c r="P257" t="s">
        <v>4083</v>
      </c>
      <c r="Q257" t="s">
        <v>1206</v>
      </c>
      <c r="R257" t="s">
        <v>886</v>
      </c>
      <c r="S257" t="s">
        <v>3080</v>
      </c>
      <c r="T257" t="s">
        <v>1206</v>
      </c>
    </row>
    <row r="258" spans="1:20">
      <c r="A258" t="s">
        <v>317</v>
      </c>
      <c r="B258" t="s">
        <v>2965</v>
      </c>
      <c r="C258" t="s">
        <v>937</v>
      </c>
      <c r="D258" t="s">
        <v>1256</v>
      </c>
      <c r="E258" t="s">
        <v>2965</v>
      </c>
      <c r="F258" t="s">
        <v>2260</v>
      </c>
      <c r="G258" t="s">
        <v>655</v>
      </c>
      <c r="H258" t="s">
        <v>3682</v>
      </c>
      <c r="I258" t="s">
        <v>3683</v>
      </c>
      <c r="J258" t="s">
        <v>655</v>
      </c>
      <c r="K258" t="s">
        <v>889</v>
      </c>
      <c r="L258" t="s">
        <v>2362</v>
      </c>
      <c r="M258" t="s">
        <v>2260</v>
      </c>
      <c r="N258" t="s">
        <v>655</v>
      </c>
      <c r="O258" t="s">
        <v>3682</v>
      </c>
      <c r="P258" t="s">
        <v>3683</v>
      </c>
      <c r="Q258" t="s">
        <v>655</v>
      </c>
      <c r="R258" t="s">
        <v>889</v>
      </c>
      <c r="S258" t="s">
        <v>2362</v>
      </c>
      <c r="T258" t="s">
        <v>655</v>
      </c>
    </row>
    <row r="259" spans="1:20">
      <c r="A259" t="s">
        <v>100</v>
      </c>
      <c r="B259" t="s">
        <v>2449</v>
      </c>
      <c r="C259" t="s">
        <v>936</v>
      </c>
      <c r="D259" t="s">
        <v>2653</v>
      </c>
      <c r="E259" t="s">
        <v>2449</v>
      </c>
      <c r="F259" t="s">
        <v>2971</v>
      </c>
      <c r="G259" t="s">
        <v>2031</v>
      </c>
      <c r="H259" t="s">
        <v>3621</v>
      </c>
      <c r="I259" t="s">
        <v>3622</v>
      </c>
      <c r="J259" t="s">
        <v>1128</v>
      </c>
      <c r="K259" t="s">
        <v>2266</v>
      </c>
      <c r="L259" t="s">
        <v>2419</v>
      </c>
      <c r="M259" t="s">
        <v>2971</v>
      </c>
      <c r="N259" t="s">
        <v>2031</v>
      </c>
      <c r="O259" t="s">
        <v>3621</v>
      </c>
      <c r="P259" t="s">
        <v>3622</v>
      </c>
      <c r="Q259" t="s">
        <v>1128</v>
      </c>
      <c r="R259" t="s">
        <v>2266</v>
      </c>
      <c r="S259" t="s">
        <v>2419</v>
      </c>
      <c r="T259" t="s">
        <v>2031</v>
      </c>
    </row>
    <row r="260" spans="1:20">
      <c r="A260" t="s">
        <v>101</v>
      </c>
      <c r="B260" t="s">
        <v>2352</v>
      </c>
      <c r="C260" t="s">
        <v>936</v>
      </c>
      <c r="D260" t="s">
        <v>2352</v>
      </c>
      <c r="E260" t="s">
        <v>2583</v>
      </c>
      <c r="F260" t="s">
        <v>1889</v>
      </c>
      <c r="G260" t="s">
        <v>1849</v>
      </c>
      <c r="H260" t="s">
        <v>3455</v>
      </c>
      <c r="I260">
        <v>986.96199999999999</v>
      </c>
      <c r="J260" t="s">
        <v>725</v>
      </c>
      <c r="K260" t="s">
        <v>2478</v>
      </c>
      <c r="L260" t="s">
        <v>2501</v>
      </c>
      <c r="M260" t="s">
        <v>1889</v>
      </c>
      <c r="N260" t="s">
        <v>1849</v>
      </c>
      <c r="O260" t="s">
        <v>3455</v>
      </c>
      <c r="P260">
        <v>986.96199999999999</v>
      </c>
      <c r="Q260" t="s">
        <v>725</v>
      </c>
      <c r="R260" t="s">
        <v>2478</v>
      </c>
      <c r="S260" t="s">
        <v>2501</v>
      </c>
      <c r="T260" t="s">
        <v>1790</v>
      </c>
    </row>
    <row r="261" spans="1:20">
      <c r="A261" t="s">
        <v>102</v>
      </c>
      <c r="B261" t="s">
        <v>2656</v>
      </c>
      <c r="C261" t="s">
        <v>937</v>
      </c>
      <c r="D261" t="s">
        <v>2656</v>
      </c>
      <c r="E261" t="s">
        <v>976</v>
      </c>
      <c r="F261" t="s">
        <v>1742</v>
      </c>
      <c r="G261" t="s">
        <v>1087</v>
      </c>
      <c r="H261" t="s">
        <v>4002</v>
      </c>
      <c r="I261" t="s">
        <v>4003</v>
      </c>
      <c r="J261" t="s">
        <v>1229</v>
      </c>
      <c r="K261" t="s">
        <v>929</v>
      </c>
      <c r="L261" t="s">
        <v>2980</v>
      </c>
      <c r="M261" t="s">
        <v>1742</v>
      </c>
      <c r="N261" t="s">
        <v>1087</v>
      </c>
      <c r="O261" t="s">
        <v>4002</v>
      </c>
      <c r="P261" t="s">
        <v>4003</v>
      </c>
      <c r="Q261" t="s">
        <v>1229</v>
      </c>
      <c r="R261" t="s">
        <v>929</v>
      </c>
      <c r="S261" t="s">
        <v>2980</v>
      </c>
      <c r="T261" t="s">
        <v>1229</v>
      </c>
    </row>
    <row r="262" spans="1:20">
      <c r="A262" t="s">
        <v>318</v>
      </c>
      <c r="B262" t="s">
        <v>2661</v>
      </c>
      <c r="C262" t="s">
        <v>936</v>
      </c>
      <c r="D262" t="s">
        <v>2665</v>
      </c>
      <c r="E262" t="s">
        <v>2661</v>
      </c>
      <c r="F262" t="s">
        <v>1602</v>
      </c>
      <c r="G262" t="s">
        <v>1509</v>
      </c>
      <c r="H262" t="s">
        <v>3406</v>
      </c>
      <c r="I262" t="s">
        <v>3407</v>
      </c>
      <c r="J262" t="s">
        <v>786</v>
      </c>
      <c r="K262" t="s">
        <v>1628</v>
      </c>
      <c r="L262" t="s">
        <v>980</v>
      </c>
      <c r="M262" t="s">
        <v>1602</v>
      </c>
      <c r="N262" t="s">
        <v>1509</v>
      </c>
      <c r="O262" t="s">
        <v>3406</v>
      </c>
      <c r="P262" t="s">
        <v>3407</v>
      </c>
      <c r="Q262" t="s">
        <v>786</v>
      </c>
      <c r="R262" t="s">
        <v>1628</v>
      </c>
      <c r="S262" t="s">
        <v>980</v>
      </c>
      <c r="T262" t="s">
        <v>1194</v>
      </c>
    </row>
    <row r="263" spans="1:20">
      <c r="A263" t="s">
        <v>434</v>
      </c>
      <c r="B263" t="s">
        <v>4097</v>
      </c>
      <c r="C263" t="s">
        <v>936</v>
      </c>
      <c r="E263" t="s">
        <v>4098</v>
      </c>
      <c r="J263" t="s">
        <v>883</v>
      </c>
      <c r="K263" t="s">
        <v>2472</v>
      </c>
      <c r="L263" t="s">
        <v>804</v>
      </c>
      <c r="Q263" t="s">
        <v>883</v>
      </c>
      <c r="R263" t="s">
        <v>2472</v>
      </c>
      <c r="S263" t="s">
        <v>804</v>
      </c>
    </row>
    <row r="264" spans="1:20">
      <c r="A264" t="s">
        <v>103</v>
      </c>
      <c r="B264" t="s">
        <v>2611</v>
      </c>
      <c r="C264" t="s">
        <v>936</v>
      </c>
      <c r="D264" t="s">
        <v>2689</v>
      </c>
      <c r="E264" t="s">
        <v>2611</v>
      </c>
      <c r="F264" t="s">
        <v>1036</v>
      </c>
      <c r="G264" t="s">
        <v>1830</v>
      </c>
      <c r="H264" t="s">
        <v>3750</v>
      </c>
      <c r="I264" t="s">
        <v>3751</v>
      </c>
      <c r="J264" t="s">
        <v>569</v>
      </c>
      <c r="K264" t="s">
        <v>823</v>
      </c>
      <c r="L264" t="s">
        <v>765</v>
      </c>
      <c r="M264" t="s">
        <v>1036</v>
      </c>
      <c r="N264" t="s">
        <v>1830</v>
      </c>
      <c r="O264" t="s">
        <v>3750</v>
      </c>
      <c r="P264" t="s">
        <v>3751</v>
      </c>
      <c r="Q264" t="s">
        <v>569</v>
      </c>
      <c r="R264" t="s">
        <v>823</v>
      </c>
      <c r="S264" t="s">
        <v>765</v>
      </c>
      <c r="T264" t="s">
        <v>569</v>
      </c>
    </row>
    <row r="265" spans="1:20">
      <c r="A265" t="s">
        <v>319</v>
      </c>
      <c r="B265" t="s">
        <v>3130</v>
      </c>
      <c r="C265" t="s">
        <v>937</v>
      </c>
      <c r="D265" t="s">
        <v>3130</v>
      </c>
      <c r="E265" t="s">
        <v>2809</v>
      </c>
      <c r="F265" t="s">
        <v>2370</v>
      </c>
      <c r="G265" t="s">
        <v>786</v>
      </c>
      <c r="H265" t="s">
        <v>3331</v>
      </c>
      <c r="I265">
        <v>953.25199999999995</v>
      </c>
      <c r="J265" t="s">
        <v>786</v>
      </c>
      <c r="K265" t="s">
        <v>790</v>
      </c>
      <c r="L265" t="s">
        <v>2266</v>
      </c>
      <c r="M265" t="s">
        <v>2370</v>
      </c>
      <c r="N265" t="s">
        <v>786</v>
      </c>
      <c r="O265" t="s">
        <v>3331</v>
      </c>
      <c r="P265">
        <v>953.25199999999995</v>
      </c>
      <c r="Q265" t="s">
        <v>786</v>
      </c>
      <c r="R265" t="s">
        <v>790</v>
      </c>
      <c r="S265" t="s">
        <v>2266</v>
      </c>
      <c r="T265" t="s">
        <v>2032</v>
      </c>
    </row>
    <row r="266" spans="1:20">
      <c r="A266" t="s">
        <v>104</v>
      </c>
      <c r="B266" t="s">
        <v>2937</v>
      </c>
      <c r="C266" t="s">
        <v>937</v>
      </c>
      <c r="D266" t="s">
        <v>2937</v>
      </c>
      <c r="E266" t="s">
        <v>680</v>
      </c>
      <c r="F266" t="s">
        <v>679</v>
      </c>
      <c r="G266" t="s">
        <v>2163</v>
      </c>
      <c r="H266" t="s">
        <v>3725</v>
      </c>
      <c r="I266" t="s">
        <v>3726</v>
      </c>
      <c r="J266" t="s">
        <v>1018</v>
      </c>
      <c r="K266" t="s">
        <v>772</v>
      </c>
      <c r="L266" t="s">
        <v>2462</v>
      </c>
      <c r="M266" t="s">
        <v>679</v>
      </c>
      <c r="N266" t="s">
        <v>2163</v>
      </c>
      <c r="O266" t="s">
        <v>3725</v>
      </c>
      <c r="P266" t="s">
        <v>3726</v>
      </c>
      <c r="Q266" t="s">
        <v>1018</v>
      </c>
      <c r="R266" t="s">
        <v>772</v>
      </c>
      <c r="S266" t="s">
        <v>2462</v>
      </c>
      <c r="T266" t="s">
        <v>724</v>
      </c>
    </row>
    <row r="267" spans="1:20">
      <c r="A267" t="s">
        <v>435</v>
      </c>
      <c r="C267" t="s">
        <v>938</v>
      </c>
    </row>
    <row r="268" spans="1:20">
      <c r="A268" t="s">
        <v>320</v>
      </c>
      <c r="B268" t="s">
        <v>2549</v>
      </c>
      <c r="C268" t="s">
        <v>937</v>
      </c>
      <c r="D268" t="s">
        <v>2734</v>
      </c>
      <c r="E268" t="s">
        <v>2549</v>
      </c>
      <c r="F268" t="s">
        <v>664</v>
      </c>
      <c r="G268" t="s">
        <v>730</v>
      </c>
      <c r="H268" t="s">
        <v>4004</v>
      </c>
      <c r="I268" t="s">
        <v>4005</v>
      </c>
      <c r="J268" t="s">
        <v>730</v>
      </c>
      <c r="K268" t="s">
        <v>806</v>
      </c>
      <c r="L268" t="s">
        <v>1080</v>
      </c>
      <c r="M268" t="s">
        <v>664</v>
      </c>
      <c r="N268" t="s">
        <v>730</v>
      </c>
      <c r="O268" t="s">
        <v>4004</v>
      </c>
      <c r="P268" t="s">
        <v>4005</v>
      </c>
      <c r="Q268" t="s">
        <v>730</v>
      </c>
      <c r="R268" t="s">
        <v>806</v>
      </c>
      <c r="S268" t="s">
        <v>1080</v>
      </c>
      <c r="T268" t="s">
        <v>730</v>
      </c>
    </row>
    <row r="269" spans="1:20">
      <c r="A269" t="s">
        <v>105</v>
      </c>
      <c r="B269" t="s">
        <v>2822</v>
      </c>
      <c r="C269" t="s">
        <v>936</v>
      </c>
      <c r="D269" t="s">
        <v>2822</v>
      </c>
      <c r="E269" t="s">
        <v>1893</v>
      </c>
      <c r="F269" t="s">
        <v>1694</v>
      </c>
      <c r="G269" t="s">
        <v>1966</v>
      </c>
      <c r="H269" t="s">
        <v>3684</v>
      </c>
      <c r="I269" t="s">
        <v>3685</v>
      </c>
      <c r="J269" t="s">
        <v>1325</v>
      </c>
      <c r="K269" t="s">
        <v>922</v>
      </c>
      <c r="L269" t="s">
        <v>2495</v>
      </c>
      <c r="M269" t="s">
        <v>1694</v>
      </c>
      <c r="N269" t="s">
        <v>1966</v>
      </c>
      <c r="O269" t="s">
        <v>3684</v>
      </c>
      <c r="P269" t="s">
        <v>3685</v>
      </c>
      <c r="Q269" t="s">
        <v>1325</v>
      </c>
      <c r="R269" t="s">
        <v>922</v>
      </c>
      <c r="S269" t="s">
        <v>2495</v>
      </c>
      <c r="T269" t="s">
        <v>1325</v>
      </c>
    </row>
    <row r="270" spans="1:20">
      <c r="A270" t="s">
        <v>321</v>
      </c>
      <c r="B270" t="s">
        <v>2634</v>
      </c>
      <c r="C270" t="s">
        <v>936</v>
      </c>
      <c r="D270" t="s">
        <v>2634</v>
      </c>
      <c r="E270" t="s">
        <v>2278</v>
      </c>
      <c r="F270" t="s">
        <v>606</v>
      </c>
      <c r="G270" t="s">
        <v>1175</v>
      </c>
      <c r="H270" t="s">
        <v>3397</v>
      </c>
      <c r="I270">
        <v>331.00099999999998</v>
      </c>
      <c r="J270" t="s">
        <v>1175</v>
      </c>
      <c r="K270" t="s">
        <v>1177</v>
      </c>
      <c r="L270" t="s">
        <v>2180</v>
      </c>
      <c r="M270" t="s">
        <v>606</v>
      </c>
      <c r="N270" t="s">
        <v>1175</v>
      </c>
      <c r="O270" t="s">
        <v>3397</v>
      </c>
      <c r="P270">
        <v>331.00099999999998</v>
      </c>
      <c r="Q270" t="s">
        <v>1175</v>
      </c>
      <c r="R270" t="s">
        <v>1177</v>
      </c>
      <c r="S270" t="s">
        <v>2180</v>
      </c>
      <c r="T270" t="s">
        <v>1726</v>
      </c>
    </row>
    <row r="271" spans="1:20">
      <c r="A271" t="s">
        <v>106</v>
      </c>
      <c r="B271" t="s">
        <v>2931</v>
      </c>
      <c r="C271" t="s">
        <v>937</v>
      </c>
      <c r="D271" t="s">
        <v>2931</v>
      </c>
      <c r="E271" t="s">
        <v>2870</v>
      </c>
      <c r="F271" t="s">
        <v>2119</v>
      </c>
      <c r="G271" t="s">
        <v>2033</v>
      </c>
      <c r="H271" t="s">
        <v>3390</v>
      </c>
      <c r="I271" t="s">
        <v>3391</v>
      </c>
      <c r="J271" t="s">
        <v>1038</v>
      </c>
      <c r="K271" t="s">
        <v>1227</v>
      </c>
      <c r="L271" t="s">
        <v>897</v>
      </c>
      <c r="M271" t="s">
        <v>2119</v>
      </c>
      <c r="N271" t="s">
        <v>2033</v>
      </c>
      <c r="O271" t="s">
        <v>3390</v>
      </c>
      <c r="P271" t="s">
        <v>3391</v>
      </c>
      <c r="Q271" t="s">
        <v>1038</v>
      </c>
      <c r="R271" t="s">
        <v>1227</v>
      </c>
      <c r="S271" t="s">
        <v>897</v>
      </c>
      <c r="T271" t="s">
        <v>2023</v>
      </c>
    </row>
    <row r="272" spans="1:20">
      <c r="A272" t="s">
        <v>107</v>
      </c>
      <c r="B272" t="s">
        <v>577</v>
      </c>
      <c r="C272" t="s">
        <v>937</v>
      </c>
      <c r="D272" t="s">
        <v>577</v>
      </c>
      <c r="E272" t="s">
        <v>2664</v>
      </c>
      <c r="F272" t="s">
        <v>1922</v>
      </c>
      <c r="G272" t="s">
        <v>967</v>
      </c>
      <c r="H272" t="s">
        <v>3472</v>
      </c>
      <c r="I272" t="s">
        <v>3473</v>
      </c>
      <c r="J272" t="s">
        <v>1510</v>
      </c>
      <c r="K272" t="s">
        <v>2478</v>
      </c>
      <c r="L272" t="s">
        <v>2819</v>
      </c>
      <c r="M272" t="s">
        <v>1922</v>
      </c>
      <c r="N272" t="s">
        <v>967</v>
      </c>
      <c r="O272" t="s">
        <v>3472</v>
      </c>
      <c r="P272" t="s">
        <v>3473</v>
      </c>
      <c r="Q272" t="s">
        <v>1510</v>
      </c>
      <c r="R272" t="s">
        <v>2478</v>
      </c>
      <c r="S272" t="s">
        <v>2819</v>
      </c>
      <c r="T272" t="s">
        <v>1245</v>
      </c>
    </row>
    <row r="273" spans="1:20">
      <c r="A273" t="s">
        <v>108</v>
      </c>
      <c r="B273" t="s">
        <v>1736</v>
      </c>
      <c r="C273" t="s">
        <v>938</v>
      </c>
      <c r="D273" t="s">
        <v>1736</v>
      </c>
      <c r="F273" t="s">
        <v>1736</v>
      </c>
      <c r="G273" t="s">
        <v>1736</v>
      </c>
      <c r="H273" t="s">
        <v>3263</v>
      </c>
      <c r="I273">
        <v>37.362000000000002</v>
      </c>
      <c r="J273" t="s">
        <v>1511</v>
      </c>
      <c r="K273" t="s">
        <v>1291</v>
      </c>
      <c r="L273" t="s">
        <v>1963</v>
      </c>
      <c r="M273" t="s">
        <v>1736</v>
      </c>
      <c r="N273" t="s">
        <v>1736</v>
      </c>
      <c r="O273" t="s">
        <v>3263</v>
      </c>
      <c r="P273">
        <v>37.362000000000002</v>
      </c>
      <c r="Q273" t="s">
        <v>1511</v>
      </c>
      <c r="R273" t="s">
        <v>1291</v>
      </c>
      <c r="S273" t="s">
        <v>1963</v>
      </c>
      <c r="T273" t="s">
        <v>1736</v>
      </c>
    </row>
    <row r="274" spans="1:20">
      <c r="A274" t="s">
        <v>109</v>
      </c>
      <c r="B274" t="s">
        <v>2320</v>
      </c>
      <c r="C274" t="s">
        <v>937</v>
      </c>
      <c r="D274" t="s">
        <v>1490</v>
      </c>
      <c r="E274" t="s">
        <v>2320</v>
      </c>
      <c r="F274" t="s">
        <v>605</v>
      </c>
      <c r="G274" t="s">
        <v>695</v>
      </c>
      <c r="H274" t="s">
        <v>3801</v>
      </c>
      <c r="I274" t="s">
        <v>3802</v>
      </c>
      <c r="J274" t="s">
        <v>1218</v>
      </c>
      <c r="K274" t="s">
        <v>755</v>
      </c>
      <c r="L274" t="s">
        <v>1252</v>
      </c>
      <c r="M274" t="s">
        <v>605</v>
      </c>
      <c r="N274" t="s">
        <v>695</v>
      </c>
      <c r="O274" t="s">
        <v>3801</v>
      </c>
      <c r="P274" t="s">
        <v>3802</v>
      </c>
      <c r="Q274" t="s">
        <v>1218</v>
      </c>
      <c r="R274" t="s">
        <v>755</v>
      </c>
      <c r="S274" t="s">
        <v>1252</v>
      </c>
      <c r="T274" t="s">
        <v>1887</v>
      </c>
    </row>
    <row r="275" spans="1:20">
      <c r="A275" t="s">
        <v>110</v>
      </c>
      <c r="B275" t="s">
        <v>1514</v>
      </c>
      <c r="C275" t="s">
        <v>937</v>
      </c>
      <c r="D275" t="s">
        <v>1954</v>
      </c>
      <c r="E275" t="s">
        <v>1514</v>
      </c>
      <c r="F275" t="s">
        <v>3021</v>
      </c>
      <c r="G275" t="s">
        <v>2264</v>
      </c>
      <c r="H275" t="s">
        <v>4105</v>
      </c>
      <c r="I275" t="s">
        <v>4084</v>
      </c>
      <c r="J275" t="s">
        <v>1512</v>
      </c>
      <c r="K275" t="s">
        <v>790</v>
      </c>
      <c r="L275" t="s">
        <v>1210</v>
      </c>
      <c r="M275" t="s">
        <v>3021</v>
      </c>
      <c r="N275" t="s">
        <v>2264</v>
      </c>
      <c r="O275" t="s">
        <v>4105</v>
      </c>
      <c r="P275" t="s">
        <v>4084</v>
      </c>
      <c r="Q275" t="s">
        <v>1512</v>
      </c>
      <c r="R275" t="s">
        <v>790</v>
      </c>
      <c r="S275" t="s">
        <v>1210</v>
      </c>
      <c r="T275" t="s">
        <v>1513</v>
      </c>
    </row>
    <row r="276" spans="1:20">
      <c r="A276" t="s">
        <v>111</v>
      </c>
      <c r="B276" t="s">
        <v>2136</v>
      </c>
      <c r="C276" t="s">
        <v>936</v>
      </c>
      <c r="D276" t="s">
        <v>2136</v>
      </c>
      <c r="F276" t="s">
        <v>2136</v>
      </c>
      <c r="G276" t="s">
        <v>637</v>
      </c>
      <c r="H276" t="s">
        <v>3512</v>
      </c>
      <c r="I276" t="s">
        <v>3513</v>
      </c>
      <c r="J276" t="s">
        <v>953</v>
      </c>
      <c r="K276" t="s">
        <v>2427</v>
      </c>
      <c r="L276" t="s">
        <v>1942</v>
      </c>
      <c r="M276" t="s">
        <v>2136</v>
      </c>
      <c r="N276" t="s">
        <v>637</v>
      </c>
      <c r="O276" t="s">
        <v>3512</v>
      </c>
      <c r="P276" t="s">
        <v>3513</v>
      </c>
      <c r="Q276" t="s">
        <v>953</v>
      </c>
      <c r="R276" t="s">
        <v>2427</v>
      </c>
      <c r="S276" t="s">
        <v>1942</v>
      </c>
      <c r="T276" t="s">
        <v>2036</v>
      </c>
    </row>
    <row r="277" spans="1:20">
      <c r="A277" t="s">
        <v>322</v>
      </c>
      <c r="B277" t="s">
        <v>2849</v>
      </c>
      <c r="C277" t="s">
        <v>936</v>
      </c>
      <c r="D277" t="s">
        <v>2849</v>
      </c>
      <c r="E277" t="s">
        <v>2704</v>
      </c>
      <c r="F277" t="s">
        <v>1583</v>
      </c>
      <c r="G277" t="s">
        <v>984</v>
      </c>
      <c r="H277" t="s">
        <v>3885</v>
      </c>
      <c r="I277">
        <v>899.22299999999996</v>
      </c>
      <c r="J277" t="s">
        <v>778</v>
      </c>
      <c r="K277" t="s">
        <v>744</v>
      </c>
      <c r="L277" t="s">
        <v>790</v>
      </c>
      <c r="M277" t="s">
        <v>1583</v>
      </c>
      <c r="N277" t="s">
        <v>984</v>
      </c>
      <c r="O277" t="s">
        <v>3885</v>
      </c>
      <c r="P277">
        <v>899.22299999999996</v>
      </c>
      <c r="Q277" t="s">
        <v>778</v>
      </c>
      <c r="R277" t="s">
        <v>744</v>
      </c>
      <c r="S277" t="s">
        <v>790</v>
      </c>
      <c r="T277" t="s">
        <v>1183</v>
      </c>
    </row>
    <row r="278" spans="1:20">
      <c r="A278" t="s">
        <v>112</v>
      </c>
      <c r="B278" t="s">
        <v>684</v>
      </c>
      <c r="C278" t="s">
        <v>936</v>
      </c>
      <c r="D278" t="s">
        <v>614</v>
      </c>
      <c r="E278" t="s">
        <v>684</v>
      </c>
      <c r="F278" t="s">
        <v>2311</v>
      </c>
      <c r="G278" t="s">
        <v>614</v>
      </c>
      <c r="H278" t="s">
        <v>3886</v>
      </c>
      <c r="I278" t="s">
        <v>3887</v>
      </c>
      <c r="J278" t="s">
        <v>684</v>
      </c>
      <c r="K278" t="s">
        <v>804</v>
      </c>
      <c r="L278" t="s">
        <v>804</v>
      </c>
      <c r="M278" t="s">
        <v>2311</v>
      </c>
      <c r="N278" t="s">
        <v>614</v>
      </c>
      <c r="O278" t="s">
        <v>3886</v>
      </c>
      <c r="P278" t="s">
        <v>3887</v>
      </c>
      <c r="Q278" t="s">
        <v>684</v>
      </c>
      <c r="R278" t="s">
        <v>804</v>
      </c>
      <c r="S278" t="s">
        <v>804</v>
      </c>
      <c r="T278" t="s">
        <v>746</v>
      </c>
    </row>
    <row r="279" spans="1:20">
      <c r="A279" t="s">
        <v>323</v>
      </c>
      <c r="B279" t="s">
        <v>2329</v>
      </c>
      <c r="C279" t="s">
        <v>936</v>
      </c>
      <c r="D279" t="s">
        <v>2525</v>
      </c>
      <c r="E279" t="s">
        <v>2329</v>
      </c>
      <c r="F279" t="s">
        <v>2759</v>
      </c>
      <c r="G279" t="s">
        <v>1923</v>
      </c>
      <c r="H279" t="s">
        <v>3727</v>
      </c>
      <c r="I279" t="s">
        <v>3728</v>
      </c>
      <c r="J279" t="s">
        <v>1172</v>
      </c>
      <c r="K279" t="s">
        <v>1621</v>
      </c>
      <c r="L279" t="s">
        <v>1650</v>
      </c>
      <c r="M279" t="s">
        <v>2759</v>
      </c>
      <c r="N279" t="s">
        <v>1923</v>
      </c>
      <c r="O279" t="s">
        <v>3727</v>
      </c>
      <c r="P279" t="s">
        <v>3728</v>
      </c>
      <c r="Q279" t="s">
        <v>1172</v>
      </c>
      <c r="R279" t="s">
        <v>1621</v>
      </c>
      <c r="S279" t="s">
        <v>1650</v>
      </c>
      <c r="T279" t="s">
        <v>546</v>
      </c>
    </row>
    <row r="280" spans="1:20">
      <c r="A280" t="s">
        <v>324</v>
      </c>
      <c r="B280" t="s">
        <v>2731</v>
      </c>
      <c r="C280" t="s">
        <v>937</v>
      </c>
      <c r="D280" t="s">
        <v>2299</v>
      </c>
      <c r="E280" t="s">
        <v>2731</v>
      </c>
      <c r="F280" t="s">
        <v>2125</v>
      </c>
      <c r="G280" t="s">
        <v>1197</v>
      </c>
      <c r="H280" t="s">
        <v>3660</v>
      </c>
      <c r="I280" t="s">
        <v>3661</v>
      </c>
      <c r="J280" t="s">
        <v>1029</v>
      </c>
      <c r="K280" t="s">
        <v>911</v>
      </c>
      <c r="L280" t="s">
        <v>1169</v>
      </c>
      <c r="M280" t="s">
        <v>2125</v>
      </c>
      <c r="N280" t="s">
        <v>1197</v>
      </c>
      <c r="O280" t="s">
        <v>3660</v>
      </c>
      <c r="P280" t="s">
        <v>3661</v>
      </c>
      <c r="Q280" t="s">
        <v>1029</v>
      </c>
      <c r="R280" t="s">
        <v>911</v>
      </c>
      <c r="S280" t="s">
        <v>1169</v>
      </c>
      <c r="T280" t="s">
        <v>1029</v>
      </c>
    </row>
    <row r="281" spans="1:20">
      <c r="A281" t="s">
        <v>325</v>
      </c>
      <c r="B281" t="s">
        <v>2989</v>
      </c>
      <c r="C281" t="s">
        <v>937</v>
      </c>
      <c r="D281" t="s">
        <v>2989</v>
      </c>
      <c r="E281" t="s">
        <v>2368</v>
      </c>
      <c r="F281" t="s">
        <v>1743</v>
      </c>
      <c r="G281" t="s">
        <v>1702</v>
      </c>
      <c r="H281" t="s">
        <v>4006</v>
      </c>
      <c r="I281" t="s">
        <v>4007</v>
      </c>
      <c r="J281" t="s">
        <v>554</v>
      </c>
      <c r="K281" t="s">
        <v>1238</v>
      </c>
      <c r="L281" t="s">
        <v>1149</v>
      </c>
      <c r="M281" t="s">
        <v>1743</v>
      </c>
      <c r="N281" t="s">
        <v>1702</v>
      </c>
      <c r="O281" t="s">
        <v>4006</v>
      </c>
      <c r="P281" t="s">
        <v>4007</v>
      </c>
      <c r="Q281" t="s">
        <v>554</v>
      </c>
      <c r="R281" t="s">
        <v>1238</v>
      </c>
      <c r="S281" t="s">
        <v>1149</v>
      </c>
      <c r="T281" t="s">
        <v>606</v>
      </c>
    </row>
    <row r="282" spans="1:20">
      <c r="A282" t="s">
        <v>113</v>
      </c>
      <c r="B282" t="s">
        <v>2900</v>
      </c>
      <c r="C282" t="s">
        <v>937</v>
      </c>
      <c r="D282" t="s">
        <v>2900</v>
      </c>
      <c r="E282" t="s">
        <v>2941</v>
      </c>
      <c r="F282" t="s">
        <v>2165</v>
      </c>
      <c r="G282" t="s">
        <v>2900</v>
      </c>
      <c r="H282" t="s">
        <v>3888</v>
      </c>
      <c r="I282" t="s">
        <v>3889</v>
      </c>
      <c r="J282" t="s">
        <v>1174</v>
      </c>
      <c r="K282" t="s">
        <v>2899</v>
      </c>
      <c r="L282" t="s">
        <v>2682</v>
      </c>
      <c r="M282" t="s">
        <v>2165</v>
      </c>
      <c r="N282" t="s">
        <v>2900</v>
      </c>
      <c r="O282" t="s">
        <v>3888</v>
      </c>
      <c r="P282" t="s">
        <v>3889</v>
      </c>
      <c r="Q282" t="s">
        <v>1174</v>
      </c>
      <c r="R282" t="s">
        <v>2899</v>
      </c>
      <c r="S282" t="s">
        <v>2682</v>
      </c>
      <c r="T282" t="s">
        <v>1161</v>
      </c>
    </row>
    <row r="283" spans="1:20">
      <c r="A283" t="s">
        <v>114</v>
      </c>
      <c r="B283" t="s">
        <v>2648</v>
      </c>
      <c r="C283" t="s">
        <v>937</v>
      </c>
      <c r="D283" t="s">
        <v>2012</v>
      </c>
      <c r="E283" t="s">
        <v>2648</v>
      </c>
      <c r="F283" t="s">
        <v>2083</v>
      </c>
      <c r="G283" t="s">
        <v>887</v>
      </c>
      <c r="H283" t="s">
        <v>3264</v>
      </c>
      <c r="I283" t="s">
        <v>3265</v>
      </c>
      <c r="J283" t="s">
        <v>726</v>
      </c>
      <c r="K283" t="s">
        <v>2224</v>
      </c>
      <c r="L283" t="s">
        <v>2752</v>
      </c>
      <c r="M283" t="s">
        <v>2083</v>
      </c>
      <c r="N283" t="s">
        <v>887</v>
      </c>
      <c r="O283" t="s">
        <v>3264</v>
      </c>
      <c r="P283" t="s">
        <v>3265</v>
      </c>
      <c r="Q283" t="s">
        <v>726</v>
      </c>
      <c r="R283" t="s">
        <v>2224</v>
      </c>
      <c r="S283" t="s">
        <v>2752</v>
      </c>
      <c r="T283" t="s">
        <v>887</v>
      </c>
    </row>
    <row r="284" spans="1:20">
      <c r="A284" t="s">
        <v>326</v>
      </c>
      <c r="B284" t="s">
        <v>3168</v>
      </c>
      <c r="C284" t="s">
        <v>937</v>
      </c>
      <c r="D284" t="s">
        <v>3168</v>
      </c>
      <c r="E284" t="s">
        <v>3167</v>
      </c>
      <c r="F284" t="s">
        <v>1442</v>
      </c>
      <c r="G284" t="s">
        <v>3169</v>
      </c>
      <c r="H284" t="s">
        <v>3569</v>
      </c>
      <c r="I284">
        <v>666.90800000000002</v>
      </c>
      <c r="J284" t="s">
        <v>995</v>
      </c>
      <c r="K284" t="s">
        <v>2308</v>
      </c>
      <c r="L284" t="s">
        <v>2592</v>
      </c>
      <c r="M284" t="s">
        <v>1442</v>
      </c>
      <c r="N284" t="s">
        <v>3169</v>
      </c>
      <c r="O284" t="s">
        <v>3569</v>
      </c>
      <c r="P284">
        <v>666.90800000000002</v>
      </c>
      <c r="Q284" t="s">
        <v>995</v>
      </c>
      <c r="R284" t="s">
        <v>2308</v>
      </c>
      <c r="S284" t="s">
        <v>2592</v>
      </c>
      <c r="T284" t="s">
        <v>995</v>
      </c>
    </row>
    <row r="285" spans="1:20">
      <c r="A285" t="s">
        <v>436</v>
      </c>
      <c r="B285" t="s">
        <v>2964</v>
      </c>
      <c r="C285" t="s">
        <v>936</v>
      </c>
      <c r="D285" t="s">
        <v>2963</v>
      </c>
      <c r="E285" t="s">
        <v>2964</v>
      </c>
      <c r="F285" t="s">
        <v>1872</v>
      </c>
      <c r="G285" t="s">
        <v>2267</v>
      </c>
      <c r="H285" t="s">
        <v>3474</v>
      </c>
      <c r="I285" t="s">
        <v>3475</v>
      </c>
      <c r="J285" t="s">
        <v>1024</v>
      </c>
      <c r="K285" t="s">
        <v>846</v>
      </c>
      <c r="L285" t="s">
        <v>968</v>
      </c>
      <c r="M285" t="s">
        <v>1872</v>
      </c>
      <c r="N285" t="s">
        <v>2267</v>
      </c>
      <c r="O285" t="s">
        <v>3474</v>
      </c>
      <c r="P285" t="s">
        <v>3475</v>
      </c>
      <c r="Q285" t="s">
        <v>1024</v>
      </c>
      <c r="R285" t="s">
        <v>846</v>
      </c>
      <c r="S285" t="s">
        <v>968</v>
      </c>
      <c r="T285" t="s">
        <v>1872</v>
      </c>
    </row>
    <row r="286" spans="1:20">
      <c r="A286" t="s">
        <v>327</v>
      </c>
      <c r="B286" t="s">
        <v>2788</v>
      </c>
      <c r="C286" t="s">
        <v>936</v>
      </c>
      <c r="D286" t="s">
        <v>1598</v>
      </c>
      <c r="E286" t="s">
        <v>2788</v>
      </c>
      <c r="F286" t="s">
        <v>2038</v>
      </c>
      <c r="G286" t="s">
        <v>2039</v>
      </c>
      <c r="H286" t="s">
        <v>4008</v>
      </c>
      <c r="I286" t="s">
        <v>4009</v>
      </c>
      <c r="J286" t="s">
        <v>1516</v>
      </c>
      <c r="K286" t="s">
        <v>755</v>
      </c>
      <c r="L286" t="s">
        <v>1831</v>
      </c>
      <c r="M286" t="s">
        <v>2038</v>
      </c>
      <c r="N286" t="s">
        <v>2039</v>
      </c>
      <c r="O286" t="s">
        <v>4008</v>
      </c>
      <c r="P286" t="s">
        <v>4009</v>
      </c>
      <c r="Q286" t="s">
        <v>1516</v>
      </c>
      <c r="R286" t="s">
        <v>755</v>
      </c>
      <c r="S286" t="s">
        <v>1831</v>
      </c>
      <c r="T286" t="s">
        <v>1003</v>
      </c>
    </row>
    <row r="287" spans="1:20">
      <c r="A287" t="s">
        <v>115</v>
      </c>
      <c r="B287" t="s">
        <v>636</v>
      </c>
      <c r="C287" t="s">
        <v>936</v>
      </c>
      <c r="D287" t="s">
        <v>2794</v>
      </c>
      <c r="E287" t="s">
        <v>636</v>
      </c>
      <c r="F287" t="s">
        <v>2289</v>
      </c>
      <c r="G287" t="s">
        <v>1035</v>
      </c>
      <c r="H287" t="s">
        <v>3803</v>
      </c>
      <c r="I287" t="s">
        <v>3804</v>
      </c>
      <c r="J287" t="s">
        <v>1039</v>
      </c>
      <c r="K287" t="s">
        <v>745</v>
      </c>
      <c r="L287" t="s">
        <v>780</v>
      </c>
      <c r="M287" t="s">
        <v>2289</v>
      </c>
      <c r="N287" t="s">
        <v>1035</v>
      </c>
      <c r="O287" t="s">
        <v>3803</v>
      </c>
      <c r="P287" t="s">
        <v>3804</v>
      </c>
      <c r="Q287" t="s">
        <v>1039</v>
      </c>
      <c r="R287" t="s">
        <v>745</v>
      </c>
      <c r="S287" t="s">
        <v>780</v>
      </c>
      <c r="T287" t="s">
        <v>1329</v>
      </c>
    </row>
    <row r="288" spans="1:20">
      <c r="A288" t="s">
        <v>328</v>
      </c>
      <c r="B288" t="s">
        <v>2979</v>
      </c>
      <c r="C288" t="s">
        <v>937</v>
      </c>
      <c r="D288" t="s">
        <v>2979</v>
      </c>
      <c r="E288" t="s">
        <v>1904</v>
      </c>
      <c r="F288" t="s">
        <v>3099</v>
      </c>
      <c r="G288" t="s">
        <v>2269</v>
      </c>
      <c r="H288" t="s">
        <v>3456</v>
      </c>
      <c r="I288" t="s">
        <v>3457</v>
      </c>
      <c r="J288" t="s">
        <v>1019</v>
      </c>
      <c r="K288" t="s">
        <v>744</v>
      </c>
      <c r="L288" t="s">
        <v>802</v>
      </c>
      <c r="M288" t="s">
        <v>3099</v>
      </c>
      <c r="N288" t="s">
        <v>2269</v>
      </c>
      <c r="O288" t="s">
        <v>3456</v>
      </c>
      <c r="P288" t="s">
        <v>3457</v>
      </c>
      <c r="Q288" t="s">
        <v>1019</v>
      </c>
      <c r="R288" t="s">
        <v>744</v>
      </c>
      <c r="S288" t="s">
        <v>802</v>
      </c>
      <c r="T288" t="s">
        <v>1019</v>
      </c>
    </row>
    <row r="289" spans="1:20">
      <c r="A289" t="s">
        <v>116</v>
      </c>
      <c r="B289" t="s">
        <v>1846</v>
      </c>
      <c r="C289" t="s">
        <v>937</v>
      </c>
      <c r="D289" t="s">
        <v>1846</v>
      </c>
      <c r="E289" t="s">
        <v>1354</v>
      </c>
      <c r="F289" t="s">
        <v>2579</v>
      </c>
      <c r="G289" t="s">
        <v>967</v>
      </c>
      <c r="H289" t="s">
        <v>3266</v>
      </c>
      <c r="I289">
        <v>782.21299999999997</v>
      </c>
      <c r="J289" t="s">
        <v>1304</v>
      </c>
      <c r="K289" t="s">
        <v>864</v>
      </c>
      <c r="L289" t="s">
        <v>2458</v>
      </c>
      <c r="M289" t="s">
        <v>2579</v>
      </c>
      <c r="N289" t="s">
        <v>967</v>
      </c>
      <c r="O289" t="s">
        <v>3266</v>
      </c>
      <c r="P289">
        <v>782.21299999999997</v>
      </c>
      <c r="Q289" t="s">
        <v>1304</v>
      </c>
      <c r="R289" t="s">
        <v>864</v>
      </c>
      <c r="S289" t="s">
        <v>2458</v>
      </c>
      <c r="T289" t="s">
        <v>967</v>
      </c>
    </row>
    <row r="290" spans="1:20">
      <c r="A290" t="s">
        <v>329</v>
      </c>
      <c r="B290" t="s">
        <v>2933</v>
      </c>
      <c r="C290" t="s">
        <v>936</v>
      </c>
      <c r="D290" t="s">
        <v>1005</v>
      </c>
      <c r="E290" t="s">
        <v>2933</v>
      </c>
      <c r="F290" t="s">
        <v>2933</v>
      </c>
      <c r="G290" t="s">
        <v>1860</v>
      </c>
      <c r="H290" t="s">
        <v>3267</v>
      </c>
      <c r="I290">
        <v>716.70100000000002</v>
      </c>
      <c r="J290" t="s">
        <v>659</v>
      </c>
      <c r="K290" t="s">
        <v>1611</v>
      </c>
      <c r="L290" t="s">
        <v>793</v>
      </c>
      <c r="M290" t="s">
        <v>2933</v>
      </c>
      <c r="N290" t="s">
        <v>1860</v>
      </c>
      <c r="O290" t="s">
        <v>3267</v>
      </c>
      <c r="P290">
        <v>716.70100000000002</v>
      </c>
      <c r="Q290" t="s">
        <v>659</v>
      </c>
      <c r="R290" t="s">
        <v>1611</v>
      </c>
      <c r="S290" t="s">
        <v>793</v>
      </c>
      <c r="T290" t="s">
        <v>1005</v>
      </c>
    </row>
    <row r="291" spans="1:20">
      <c r="A291" t="s">
        <v>330</v>
      </c>
      <c r="B291" t="s">
        <v>2910</v>
      </c>
      <c r="C291" t="s">
        <v>937</v>
      </c>
      <c r="D291" t="s">
        <v>2910</v>
      </c>
      <c r="E291" t="s">
        <v>2826</v>
      </c>
      <c r="F291" t="s">
        <v>2270</v>
      </c>
      <c r="G291" t="s">
        <v>1693</v>
      </c>
      <c r="H291" t="s">
        <v>3623</v>
      </c>
      <c r="I291" t="s">
        <v>3624</v>
      </c>
      <c r="J291" t="s">
        <v>1097</v>
      </c>
      <c r="K291" t="s">
        <v>806</v>
      </c>
      <c r="L291" t="s">
        <v>763</v>
      </c>
      <c r="M291" t="s">
        <v>2270</v>
      </c>
      <c r="N291" t="s">
        <v>1693</v>
      </c>
      <c r="O291" t="s">
        <v>3623</v>
      </c>
      <c r="P291" t="s">
        <v>3624</v>
      </c>
      <c r="Q291" t="s">
        <v>1097</v>
      </c>
      <c r="R291" t="s">
        <v>806</v>
      </c>
      <c r="S291" t="s">
        <v>763</v>
      </c>
      <c r="T291" t="s">
        <v>1097</v>
      </c>
    </row>
    <row r="292" spans="1:20">
      <c r="A292" t="s">
        <v>331</v>
      </c>
      <c r="B292" t="s">
        <v>620</v>
      </c>
      <c r="C292" t="s">
        <v>937</v>
      </c>
      <c r="D292" t="s">
        <v>704</v>
      </c>
      <c r="E292" t="s">
        <v>620</v>
      </c>
      <c r="F292" t="s">
        <v>2521</v>
      </c>
      <c r="G292" t="s">
        <v>1051</v>
      </c>
      <c r="H292" t="s">
        <v>4010</v>
      </c>
      <c r="I292" t="s">
        <v>4011</v>
      </c>
      <c r="J292" t="s">
        <v>960</v>
      </c>
      <c r="K292" t="s">
        <v>1673</v>
      </c>
      <c r="L292" t="s">
        <v>1106</v>
      </c>
      <c r="M292" t="s">
        <v>2521</v>
      </c>
      <c r="N292" t="s">
        <v>1051</v>
      </c>
      <c r="O292" t="s">
        <v>4010</v>
      </c>
      <c r="P292" t="s">
        <v>4011</v>
      </c>
      <c r="Q292" t="s">
        <v>960</v>
      </c>
      <c r="R292" t="s">
        <v>1673</v>
      </c>
      <c r="S292" t="s">
        <v>1106</v>
      </c>
      <c r="T292" t="s">
        <v>686</v>
      </c>
    </row>
    <row r="293" spans="1:20">
      <c r="A293" t="s">
        <v>332</v>
      </c>
      <c r="B293" t="s">
        <v>2981</v>
      </c>
      <c r="C293" t="s">
        <v>937</v>
      </c>
      <c r="D293" t="s">
        <v>2981</v>
      </c>
      <c r="E293" t="s">
        <v>2505</v>
      </c>
      <c r="F293" t="s">
        <v>1191</v>
      </c>
      <c r="G293" t="s">
        <v>1022</v>
      </c>
      <c r="H293" t="s">
        <v>3570</v>
      </c>
      <c r="I293" t="s">
        <v>3571</v>
      </c>
      <c r="J293" t="s">
        <v>1022</v>
      </c>
      <c r="K293" t="s">
        <v>875</v>
      </c>
      <c r="L293" t="s">
        <v>1170</v>
      </c>
      <c r="M293" t="s">
        <v>1191</v>
      </c>
      <c r="N293" t="s">
        <v>1022</v>
      </c>
      <c r="O293" t="s">
        <v>3570</v>
      </c>
      <c r="P293" t="s">
        <v>3571</v>
      </c>
      <c r="Q293" t="s">
        <v>1022</v>
      </c>
      <c r="R293" t="s">
        <v>875</v>
      </c>
      <c r="S293" t="s">
        <v>1170</v>
      </c>
      <c r="T293" t="s">
        <v>1729</v>
      </c>
    </row>
    <row r="294" spans="1:20">
      <c r="A294" t="s">
        <v>117</v>
      </c>
      <c r="B294" t="s">
        <v>3021</v>
      </c>
      <c r="C294" t="s">
        <v>937</v>
      </c>
      <c r="D294" t="s">
        <v>1671</v>
      </c>
      <c r="E294" t="s">
        <v>3021</v>
      </c>
      <c r="F294" t="s">
        <v>2070</v>
      </c>
      <c r="G294" t="s">
        <v>1313</v>
      </c>
      <c r="H294" t="s">
        <v>3332</v>
      </c>
      <c r="I294">
        <v>706.428</v>
      </c>
      <c r="J294" t="s">
        <v>632</v>
      </c>
      <c r="K294" t="s">
        <v>747</v>
      </c>
      <c r="L294" t="s">
        <v>829</v>
      </c>
      <c r="M294" t="s">
        <v>2070</v>
      </c>
      <c r="N294" t="s">
        <v>1313</v>
      </c>
      <c r="O294" t="s">
        <v>3332</v>
      </c>
      <c r="P294">
        <v>706.428</v>
      </c>
      <c r="Q294" t="s">
        <v>632</v>
      </c>
      <c r="R294" t="s">
        <v>747</v>
      </c>
      <c r="S294" t="s">
        <v>829</v>
      </c>
      <c r="T294" t="s">
        <v>675</v>
      </c>
    </row>
    <row r="295" spans="1:20">
      <c r="A295" t="s">
        <v>544</v>
      </c>
      <c r="B295" t="s">
        <v>2001</v>
      </c>
      <c r="C295" t="s">
        <v>937</v>
      </c>
      <c r="D295" t="s">
        <v>2001</v>
      </c>
      <c r="E295" t="s">
        <v>2824</v>
      </c>
      <c r="F295" t="s">
        <v>2045</v>
      </c>
      <c r="G295" t="s">
        <v>2040</v>
      </c>
      <c r="H295" t="s">
        <v>4012</v>
      </c>
      <c r="I295" t="s">
        <v>4013</v>
      </c>
      <c r="J295" t="s">
        <v>1517</v>
      </c>
      <c r="K295" t="s">
        <v>755</v>
      </c>
      <c r="L295" t="s">
        <v>840</v>
      </c>
      <c r="M295" t="s">
        <v>2045</v>
      </c>
      <c r="N295" t="s">
        <v>2040</v>
      </c>
      <c r="O295" t="s">
        <v>4012</v>
      </c>
      <c r="P295" t="s">
        <v>4013</v>
      </c>
      <c r="Q295" t="s">
        <v>1517</v>
      </c>
      <c r="R295" t="s">
        <v>755</v>
      </c>
      <c r="S295" t="s">
        <v>840</v>
      </c>
      <c r="T295" t="s">
        <v>589</v>
      </c>
    </row>
    <row r="296" spans="1:20">
      <c r="A296" t="s">
        <v>333</v>
      </c>
      <c r="B296" t="s">
        <v>621</v>
      </c>
      <c r="C296" t="s">
        <v>936</v>
      </c>
      <c r="D296" t="s">
        <v>621</v>
      </c>
      <c r="E296" t="s">
        <v>2775</v>
      </c>
      <c r="F296" t="s">
        <v>2271</v>
      </c>
      <c r="G296" t="s">
        <v>1269</v>
      </c>
      <c r="H296" t="s">
        <v>3412</v>
      </c>
      <c r="I296" t="s">
        <v>3413</v>
      </c>
      <c r="J296" t="s">
        <v>1269</v>
      </c>
      <c r="K296" t="s">
        <v>2646</v>
      </c>
      <c r="L296" t="s">
        <v>2616</v>
      </c>
      <c r="M296" t="s">
        <v>2271</v>
      </c>
      <c r="N296" t="s">
        <v>1269</v>
      </c>
      <c r="O296" t="s">
        <v>3412</v>
      </c>
      <c r="P296" t="s">
        <v>3413</v>
      </c>
      <c r="Q296" t="s">
        <v>1269</v>
      </c>
      <c r="R296" t="s">
        <v>2646</v>
      </c>
      <c r="S296" t="s">
        <v>2616</v>
      </c>
      <c r="T296" t="s">
        <v>1269</v>
      </c>
    </row>
    <row r="297" spans="1:20">
      <c r="A297" t="s">
        <v>334</v>
      </c>
      <c r="B297" t="s">
        <v>3201</v>
      </c>
      <c r="C297" t="s">
        <v>936</v>
      </c>
      <c r="D297" t="s">
        <v>3202</v>
      </c>
      <c r="E297" t="s">
        <v>3201</v>
      </c>
      <c r="F297" t="s">
        <v>1644</v>
      </c>
      <c r="G297" t="s">
        <v>3198</v>
      </c>
      <c r="H297" t="s">
        <v>4014</v>
      </c>
      <c r="I297" t="s">
        <v>4015</v>
      </c>
      <c r="J297" t="s">
        <v>1407</v>
      </c>
      <c r="K297" t="s">
        <v>3023</v>
      </c>
      <c r="L297" t="s">
        <v>3203</v>
      </c>
      <c r="M297" t="s">
        <v>1644</v>
      </c>
      <c r="N297" t="s">
        <v>3198</v>
      </c>
      <c r="O297" t="s">
        <v>4014</v>
      </c>
      <c r="P297" t="s">
        <v>4015</v>
      </c>
      <c r="Q297" t="s">
        <v>1407</v>
      </c>
      <c r="R297" t="s">
        <v>3023</v>
      </c>
      <c r="S297" t="s">
        <v>3203</v>
      </c>
      <c r="T297" t="s">
        <v>1219</v>
      </c>
    </row>
    <row r="298" spans="1:20">
      <c r="A298" t="s">
        <v>118</v>
      </c>
      <c r="B298" t="s">
        <v>2885</v>
      </c>
      <c r="C298" t="s">
        <v>936</v>
      </c>
      <c r="D298" t="s">
        <v>2885</v>
      </c>
      <c r="E298" t="s">
        <v>3286</v>
      </c>
      <c r="F298" t="s">
        <v>2273</v>
      </c>
      <c r="G298" t="s">
        <v>2127</v>
      </c>
      <c r="H298" t="s">
        <v>3890</v>
      </c>
      <c r="I298">
        <v>22.725999999999999</v>
      </c>
      <c r="J298" t="s">
        <v>1340</v>
      </c>
      <c r="K298" t="s">
        <v>3135</v>
      </c>
      <c r="L298" t="s">
        <v>750</v>
      </c>
      <c r="M298" t="s">
        <v>2273</v>
      </c>
      <c r="N298" t="s">
        <v>2127</v>
      </c>
      <c r="O298" t="s">
        <v>3890</v>
      </c>
      <c r="P298">
        <v>22.725999999999999</v>
      </c>
      <c r="Q298" t="s">
        <v>1340</v>
      </c>
      <c r="R298" t="s">
        <v>3135</v>
      </c>
      <c r="S298" t="s">
        <v>750</v>
      </c>
      <c r="T298" t="s">
        <v>1748</v>
      </c>
    </row>
    <row r="299" spans="1:20">
      <c r="A299" t="s">
        <v>335</v>
      </c>
      <c r="B299" t="s">
        <v>2207</v>
      </c>
      <c r="C299" t="s">
        <v>936</v>
      </c>
      <c r="D299" t="s">
        <v>1752</v>
      </c>
      <c r="E299" t="s">
        <v>2207</v>
      </c>
      <c r="F299" t="s">
        <v>1393</v>
      </c>
      <c r="G299" t="s">
        <v>912</v>
      </c>
      <c r="H299" t="s">
        <v>3686</v>
      </c>
      <c r="I299" t="s">
        <v>3687</v>
      </c>
      <c r="J299" t="s">
        <v>912</v>
      </c>
      <c r="K299" t="s">
        <v>844</v>
      </c>
      <c r="L299" t="s">
        <v>1873</v>
      </c>
      <c r="M299" t="s">
        <v>1393</v>
      </c>
      <c r="N299" t="s">
        <v>912</v>
      </c>
      <c r="O299" t="s">
        <v>3686</v>
      </c>
      <c r="P299" t="s">
        <v>3687</v>
      </c>
      <c r="Q299" t="s">
        <v>912</v>
      </c>
      <c r="R299" t="s">
        <v>844</v>
      </c>
      <c r="S299" t="s">
        <v>1873</v>
      </c>
      <c r="T299" t="s">
        <v>1848</v>
      </c>
    </row>
    <row r="300" spans="1:20">
      <c r="A300" t="s">
        <v>119</v>
      </c>
      <c r="B300" t="s">
        <v>3039</v>
      </c>
      <c r="C300" t="s">
        <v>936</v>
      </c>
      <c r="D300" t="s">
        <v>3039</v>
      </c>
      <c r="E300" t="s">
        <v>3035</v>
      </c>
      <c r="F300" t="s">
        <v>2138</v>
      </c>
      <c r="G300" t="s">
        <v>1094</v>
      </c>
      <c r="H300" t="s">
        <v>3547</v>
      </c>
      <c r="I300" t="s">
        <v>3548</v>
      </c>
      <c r="J300" t="s">
        <v>1518</v>
      </c>
      <c r="K300" t="s">
        <v>1690</v>
      </c>
      <c r="L300" t="s">
        <v>850</v>
      </c>
      <c r="M300" t="s">
        <v>2138</v>
      </c>
      <c r="N300" t="s">
        <v>1094</v>
      </c>
      <c r="O300" t="s">
        <v>3547</v>
      </c>
      <c r="P300" t="s">
        <v>3548</v>
      </c>
      <c r="Q300" t="s">
        <v>1518</v>
      </c>
      <c r="R300" t="s">
        <v>1690</v>
      </c>
      <c r="S300" t="s">
        <v>850</v>
      </c>
      <c r="T300" t="s">
        <v>2041</v>
      </c>
    </row>
    <row r="301" spans="1:20">
      <c r="A301" t="s">
        <v>545</v>
      </c>
      <c r="B301" t="s">
        <v>2395</v>
      </c>
      <c r="C301" t="s">
        <v>937</v>
      </c>
      <c r="D301" t="s">
        <v>2395</v>
      </c>
      <c r="E301" t="s">
        <v>2862</v>
      </c>
      <c r="F301" t="s">
        <v>1460</v>
      </c>
      <c r="G301" t="s">
        <v>885</v>
      </c>
      <c r="H301" t="s">
        <v>4016</v>
      </c>
      <c r="I301" t="s">
        <v>4017</v>
      </c>
      <c r="J301" t="s">
        <v>963</v>
      </c>
      <c r="K301" t="s">
        <v>770</v>
      </c>
      <c r="L301" t="s">
        <v>2761</v>
      </c>
      <c r="M301" t="s">
        <v>1460</v>
      </c>
      <c r="N301" t="s">
        <v>885</v>
      </c>
      <c r="O301" t="s">
        <v>4016</v>
      </c>
      <c r="P301" t="s">
        <v>4017</v>
      </c>
      <c r="Q301" t="s">
        <v>963</v>
      </c>
      <c r="R301" t="s">
        <v>770</v>
      </c>
      <c r="S301" t="s">
        <v>2761</v>
      </c>
      <c r="T301" t="s">
        <v>963</v>
      </c>
    </row>
    <row r="302" spans="1:20">
      <c r="A302" t="s">
        <v>120</v>
      </c>
      <c r="B302" t="s">
        <v>1781</v>
      </c>
      <c r="C302" t="s">
        <v>937</v>
      </c>
      <c r="D302" t="s">
        <v>1781</v>
      </c>
      <c r="E302" t="s">
        <v>2732</v>
      </c>
      <c r="F302" t="s">
        <v>558</v>
      </c>
      <c r="G302" t="s">
        <v>555</v>
      </c>
      <c r="H302" t="s">
        <v>3688</v>
      </c>
      <c r="I302" t="s">
        <v>3689</v>
      </c>
      <c r="J302" t="s">
        <v>555</v>
      </c>
      <c r="K302" t="s">
        <v>773</v>
      </c>
      <c r="L302" t="s">
        <v>829</v>
      </c>
      <c r="M302" t="s">
        <v>558</v>
      </c>
      <c r="N302" t="s">
        <v>555</v>
      </c>
      <c r="O302" t="s">
        <v>3688</v>
      </c>
      <c r="P302" t="s">
        <v>3689</v>
      </c>
      <c r="Q302" t="s">
        <v>555</v>
      </c>
      <c r="R302" t="s">
        <v>773</v>
      </c>
      <c r="S302" t="s">
        <v>829</v>
      </c>
      <c r="T302" t="s">
        <v>1781</v>
      </c>
    </row>
    <row r="303" spans="1:20">
      <c r="A303" t="s">
        <v>121</v>
      </c>
      <c r="B303" t="s">
        <v>1321</v>
      </c>
      <c r="C303" t="s">
        <v>936</v>
      </c>
      <c r="D303" t="s">
        <v>687</v>
      </c>
      <c r="E303" t="s">
        <v>1321</v>
      </c>
      <c r="F303" t="s">
        <v>2153</v>
      </c>
      <c r="G303" t="s">
        <v>593</v>
      </c>
      <c r="H303" t="s">
        <v>4018</v>
      </c>
      <c r="I303" t="s">
        <v>4019</v>
      </c>
      <c r="J303" t="s">
        <v>1321</v>
      </c>
      <c r="K303" t="s">
        <v>804</v>
      </c>
      <c r="L303" t="s">
        <v>804</v>
      </c>
      <c r="M303" t="s">
        <v>2153</v>
      </c>
      <c r="N303" t="s">
        <v>593</v>
      </c>
      <c r="O303" t="s">
        <v>4018</v>
      </c>
      <c r="P303" t="s">
        <v>4019</v>
      </c>
      <c r="Q303" t="s">
        <v>1321</v>
      </c>
      <c r="R303" t="s">
        <v>804</v>
      </c>
      <c r="S303" t="s">
        <v>804</v>
      </c>
      <c r="T303" t="s">
        <v>1648</v>
      </c>
    </row>
    <row r="304" spans="1:20">
      <c r="A304" t="s">
        <v>122</v>
      </c>
      <c r="B304" t="s">
        <v>1588</v>
      </c>
      <c r="C304" t="s">
        <v>936</v>
      </c>
      <c r="D304" t="s">
        <v>2621</v>
      </c>
      <c r="E304" t="s">
        <v>1588</v>
      </c>
      <c r="F304" t="s">
        <v>1876</v>
      </c>
      <c r="G304" t="s">
        <v>2275</v>
      </c>
      <c r="H304" t="s">
        <v>3572</v>
      </c>
      <c r="I304" t="s">
        <v>3573</v>
      </c>
      <c r="J304" t="s">
        <v>1520</v>
      </c>
      <c r="K304" t="s">
        <v>1004</v>
      </c>
      <c r="L304" t="s">
        <v>2200</v>
      </c>
      <c r="M304" t="s">
        <v>1876</v>
      </c>
      <c r="N304" t="s">
        <v>2275</v>
      </c>
      <c r="O304" t="s">
        <v>3572</v>
      </c>
      <c r="P304" t="s">
        <v>3573</v>
      </c>
      <c r="Q304" t="s">
        <v>1520</v>
      </c>
      <c r="R304" t="s">
        <v>1004</v>
      </c>
      <c r="S304" t="s">
        <v>2200</v>
      </c>
      <c r="T304" t="s">
        <v>607</v>
      </c>
    </row>
    <row r="305" spans="1:20">
      <c r="A305" t="s">
        <v>123</v>
      </c>
      <c r="B305" t="s">
        <v>2753</v>
      </c>
      <c r="C305" t="s">
        <v>937</v>
      </c>
      <c r="D305" t="s">
        <v>3051</v>
      </c>
      <c r="E305" t="s">
        <v>2753</v>
      </c>
      <c r="F305" t="s">
        <v>2433</v>
      </c>
      <c r="G305" t="s">
        <v>1119</v>
      </c>
      <c r="H305" t="s">
        <v>3530</v>
      </c>
      <c r="I305" t="s">
        <v>3531</v>
      </c>
      <c r="J305" t="s">
        <v>1323</v>
      </c>
      <c r="K305" t="s">
        <v>819</v>
      </c>
      <c r="L305" t="s">
        <v>890</v>
      </c>
      <c r="M305" t="s">
        <v>2433</v>
      </c>
      <c r="N305" t="s">
        <v>1119</v>
      </c>
      <c r="O305" t="s">
        <v>3530</v>
      </c>
      <c r="P305" t="s">
        <v>3531</v>
      </c>
      <c r="Q305" t="s">
        <v>1323</v>
      </c>
      <c r="R305" t="s">
        <v>819</v>
      </c>
      <c r="S305" t="s">
        <v>890</v>
      </c>
      <c r="T305" t="s">
        <v>2043</v>
      </c>
    </row>
    <row r="306" spans="1:20">
      <c r="A306" t="s">
        <v>124</v>
      </c>
      <c r="B306" t="s">
        <v>2602</v>
      </c>
      <c r="C306" t="s">
        <v>937</v>
      </c>
      <c r="D306" t="s">
        <v>2602</v>
      </c>
      <c r="E306" t="s">
        <v>2527</v>
      </c>
      <c r="F306" t="s">
        <v>2777</v>
      </c>
      <c r="G306" t="s">
        <v>1810</v>
      </c>
      <c r="H306" t="s">
        <v>3891</v>
      </c>
      <c r="I306" t="s">
        <v>3892</v>
      </c>
      <c r="J306" t="s">
        <v>1354</v>
      </c>
      <c r="K306" t="s">
        <v>1621</v>
      </c>
      <c r="L306" t="s">
        <v>1190</v>
      </c>
      <c r="M306" t="s">
        <v>2777</v>
      </c>
      <c r="N306" t="s">
        <v>1810</v>
      </c>
      <c r="O306" t="s">
        <v>3891</v>
      </c>
      <c r="P306" t="s">
        <v>3892</v>
      </c>
      <c r="Q306" t="s">
        <v>1354</v>
      </c>
      <c r="R306" t="s">
        <v>1621</v>
      </c>
      <c r="S306" t="s">
        <v>1190</v>
      </c>
      <c r="T306" t="s">
        <v>1508</v>
      </c>
    </row>
    <row r="307" spans="1:20">
      <c r="A307" t="s">
        <v>125</v>
      </c>
      <c r="B307" t="s">
        <v>3010</v>
      </c>
      <c r="C307" t="s">
        <v>936</v>
      </c>
      <c r="D307" t="s">
        <v>3009</v>
      </c>
      <c r="E307" t="s">
        <v>3010</v>
      </c>
      <c r="F307" t="s">
        <v>2942</v>
      </c>
      <c r="G307" t="s">
        <v>2042</v>
      </c>
      <c r="H307" t="s">
        <v>4020</v>
      </c>
      <c r="I307" t="s">
        <v>4021</v>
      </c>
      <c r="J307" t="s">
        <v>1043</v>
      </c>
      <c r="K307" t="s">
        <v>985</v>
      </c>
      <c r="L307" t="s">
        <v>1885</v>
      </c>
      <c r="M307" t="s">
        <v>2942</v>
      </c>
      <c r="N307" t="s">
        <v>2042</v>
      </c>
      <c r="O307" t="s">
        <v>4020</v>
      </c>
      <c r="P307" t="s">
        <v>4021</v>
      </c>
      <c r="Q307" t="s">
        <v>1043</v>
      </c>
      <c r="R307" t="s">
        <v>985</v>
      </c>
      <c r="S307" t="s">
        <v>1885</v>
      </c>
      <c r="T307" t="s">
        <v>1876</v>
      </c>
    </row>
    <row r="308" spans="1:20">
      <c r="A308" t="s">
        <v>126</v>
      </c>
      <c r="B308" t="s">
        <v>2792</v>
      </c>
      <c r="C308" t="s">
        <v>937</v>
      </c>
      <c r="D308" t="s">
        <v>2792</v>
      </c>
      <c r="E308" t="s">
        <v>1264</v>
      </c>
      <c r="F308" t="s">
        <v>1648</v>
      </c>
      <c r="G308" t="s">
        <v>2124</v>
      </c>
      <c r="H308" t="s">
        <v>3333</v>
      </c>
      <c r="I308">
        <v>776.36800000000005</v>
      </c>
      <c r="J308" t="s">
        <v>981</v>
      </c>
      <c r="K308" t="s">
        <v>744</v>
      </c>
      <c r="L308" t="s">
        <v>765</v>
      </c>
      <c r="M308" t="s">
        <v>1648</v>
      </c>
      <c r="N308" t="s">
        <v>2124</v>
      </c>
      <c r="O308" t="s">
        <v>3333</v>
      </c>
      <c r="P308">
        <v>776.36800000000005</v>
      </c>
      <c r="Q308" t="s">
        <v>981</v>
      </c>
      <c r="R308" t="s">
        <v>744</v>
      </c>
      <c r="S308" t="s">
        <v>765</v>
      </c>
      <c r="T308" t="s">
        <v>981</v>
      </c>
    </row>
    <row r="309" spans="1:20">
      <c r="A309" t="s">
        <v>336</v>
      </c>
      <c r="B309" t="s">
        <v>613</v>
      </c>
      <c r="C309" t="s">
        <v>936</v>
      </c>
      <c r="D309" t="s">
        <v>600</v>
      </c>
      <c r="E309" t="s">
        <v>613</v>
      </c>
      <c r="F309" t="s">
        <v>613</v>
      </c>
      <c r="G309" t="s">
        <v>1521</v>
      </c>
      <c r="H309" t="s">
        <v>3458</v>
      </c>
      <c r="I309" t="s">
        <v>3459</v>
      </c>
      <c r="J309" t="s">
        <v>1521</v>
      </c>
      <c r="K309" t="s">
        <v>1683</v>
      </c>
      <c r="L309" t="s">
        <v>584</v>
      </c>
      <c r="M309" t="s">
        <v>613</v>
      </c>
      <c r="N309" t="s">
        <v>1521</v>
      </c>
      <c r="O309" t="s">
        <v>3458</v>
      </c>
      <c r="P309" t="s">
        <v>3459</v>
      </c>
      <c r="Q309" t="s">
        <v>1521</v>
      </c>
      <c r="R309" t="s">
        <v>1683</v>
      </c>
      <c r="S309" t="s">
        <v>584</v>
      </c>
      <c r="T309" t="s">
        <v>1434</v>
      </c>
    </row>
    <row r="310" spans="1:20">
      <c r="A310" t="s">
        <v>127</v>
      </c>
      <c r="B310" t="s">
        <v>909</v>
      </c>
      <c r="C310" t="s">
        <v>937</v>
      </c>
      <c r="D310" t="s">
        <v>549</v>
      </c>
      <c r="E310" t="s">
        <v>909</v>
      </c>
      <c r="F310" t="s">
        <v>699</v>
      </c>
      <c r="G310" t="s">
        <v>1992</v>
      </c>
      <c r="H310" t="s">
        <v>4106</v>
      </c>
      <c r="I310" t="s">
        <v>4085</v>
      </c>
      <c r="J310" t="s">
        <v>1522</v>
      </c>
      <c r="K310" t="s">
        <v>866</v>
      </c>
      <c r="L310" t="s">
        <v>1011</v>
      </c>
      <c r="M310" t="s">
        <v>699</v>
      </c>
      <c r="N310" t="s">
        <v>1992</v>
      </c>
      <c r="O310" t="s">
        <v>4106</v>
      </c>
      <c r="P310" t="s">
        <v>4085</v>
      </c>
      <c r="Q310" t="s">
        <v>1522</v>
      </c>
      <c r="R310" t="s">
        <v>866</v>
      </c>
      <c r="S310" t="s">
        <v>1011</v>
      </c>
      <c r="T310" t="s">
        <v>1985</v>
      </c>
    </row>
    <row r="311" spans="1:20">
      <c r="A311" t="s">
        <v>128</v>
      </c>
      <c r="B311" t="s">
        <v>1899</v>
      </c>
      <c r="C311" t="s">
        <v>936</v>
      </c>
      <c r="D311" t="s">
        <v>2263</v>
      </c>
      <c r="E311" t="s">
        <v>1899</v>
      </c>
      <c r="F311" t="s">
        <v>1364</v>
      </c>
      <c r="G311" t="s">
        <v>1089</v>
      </c>
      <c r="H311" t="s">
        <v>3334</v>
      </c>
      <c r="I311">
        <v>425.81200000000001</v>
      </c>
      <c r="J311" t="s">
        <v>1523</v>
      </c>
      <c r="K311" t="s">
        <v>1213</v>
      </c>
      <c r="L311" t="s">
        <v>584</v>
      </c>
      <c r="M311" t="s">
        <v>1364</v>
      </c>
      <c r="N311" t="s">
        <v>1089</v>
      </c>
      <c r="O311" t="s">
        <v>3334</v>
      </c>
      <c r="P311">
        <v>425.81200000000001</v>
      </c>
      <c r="Q311" t="s">
        <v>1523</v>
      </c>
      <c r="R311" t="s">
        <v>1213</v>
      </c>
      <c r="S311" t="s">
        <v>584</v>
      </c>
      <c r="T311" t="s">
        <v>1523</v>
      </c>
    </row>
    <row r="312" spans="1:20">
      <c r="A312" t="s">
        <v>337</v>
      </c>
      <c r="B312" t="s">
        <v>2248</v>
      </c>
      <c r="C312" t="s">
        <v>936</v>
      </c>
      <c r="D312" t="s">
        <v>2248</v>
      </c>
      <c r="E312" t="s">
        <v>2564</v>
      </c>
      <c r="F312" t="s">
        <v>577</v>
      </c>
      <c r="G312" t="s">
        <v>2277</v>
      </c>
      <c r="H312" t="s">
        <v>3625</v>
      </c>
      <c r="I312" t="s">
        <v>3626</v>
      </c>
      <c r="J312" t="s">
        <v>685</v>
      </c>
      <c r="K312" t="s">
        <v>799</v>
      </c>
      <c r="L312" t="s">
        <v>2576</v>
      </c>
      <c r="M312" t="s">
        <v>577</v>
      </c>
      <c r="N312" t="s">
        <v>2277</v>
      </c>
      <c r="O312" t="s">
        <v>3625</v>
      </c>
      <c r="P312" t="s">
        <v>3626</v>
      </c>
      <c r="Q312" t="s">
        <v>685</v>
      </c>
      <c r="R312" t="s">
        <v>799</v>
      </c>
      <c r="S312" t="s">
        <v>2576</v>
      </c>
      <c r="T312" t="s">
        <v>592</v>
      </c>
    </row>
    <row r="313" spans="1:20">
      <c r="A313" t="s">
        <v>338</v>
      </c>
      <c r="B313" t="s">
        <v>2270</v>
      </c>
      <c r="C313" t="s">
        <v>937</v>
      </c>
      <c r="D313" t="s">
        <v>2938</v>
      </c>
      <c r="E313" t="s">
        <v>2270</v>
      </c>
      <c r="F313" t="s">
        <v>1381</v>
      </c>
      <c r="G313" t="s">
        <v>2270</v>
      </c>
      <c r="H313" t="s">
        <v>3893</v>
      </c>
      <c r="I313" t="s">
        <v>3894</v>
      </c>
      <c r="J313" t="s">
        <v>1055</v>
      </c>
      <c r="K313" t="s">
        <v>3226</v>
      </c>
      <c r="L313" t="s">
        <v>3227</v>
      </c>
      <c r="M313" t="s">
        <v>1381</v>
      </c>
      <c r="N313" t="s">
        <v>2270</v>
      </c>
      <c r="O313" t="s">
        <v>3893</v>
      </c>
      <c r="P313" t="s">
        <v>3894</v>
      </c>
      <c r="Q313" t="s">
        <v>1055</v>
      </c>
      <c r="R313" t="s">
        <v>3226</v>
      </c>
      <c r="S313" t="s">
        <v>3227</v>
      </c>
      <c r="T313" t="s">
        <v>1343</v>
      </c>
    </row>
    <row r="314" spans="1:20">
      <c r="A314" t="s">
        <v>339</v>
      </c>
      <c r="B314" t="s">
        <v>3184</v>
      </c>
      <c r="C314" t="s">
        <v>936</v>
      </c>
      <c r="D314" t="s">
        <v>2912</v>
      </c>
      <c r="E314" t="s">
        <v>3184</v>
      </c>
      <c r="F314" t="s">
        <v>1847</v>
      </c>
      <c r="G314" t="s">
        <v>1147</v>
      </c>
      <c r="H314" t="s">
        <v>3549</v>
      </c>
      <c r="I314">
        <v>472.875</v>
      </c>
      <c r="J314" t="s">
        <v>1147</v>
      </c>
      <c r="K314" t="s">
        <v>1164</v>
      </c>
      <c r="L314" t="s">
        <v>871</v>
      </c>
      <c r="M314" t="s">
        <v>1847</v>
      </c>
      <c r="N314" t="s">
        <v>1147</v>
      </c>
      <c r="O314" t="s">
        <v>3549</v>
      </c>
      <c r="P314">
        <v>472.875</v>
      </c>
      <c r="Q314" t="s">
        <v>1147</v>
      </c>
      <c r="R314" t="s">
        <v>1164</v>
      </c>
      <c r="S314" t="s">
        <v>871</v>
      </c>
      <c r="T314" t="s">
        <v>926</v>
      </c>
    </row>
    <row r="315" spans="1:20">
      <c r="A315" t="s">
        <v>129</v>
      </c>
      <c r="B315" t="s">
        <v>1305</v>
      </c>
      <c r="C315" t="s">
        <v>936</v>
      </c>
      <c r="D315" t="s">
        <v>1811</v>
      </c>
      <c r="E315" t="s">
        <v>1305</v>
      </c>
      <c r="F315" t="s">
        <v>598</v>
      </c>
      <c r="G315" t="s">
        <v>1133</v>
      </c>
      <c r="H315" t="s">
        <v>3895</v>
      </c>
      <c r="I315">
        <v>655.18700000000001</v>
      </c>
      <c r="J315" t="s">
        <v>1450</v>
      </c>
      <c r="K315" t="s">
        <v>2534</v>
      </c>
      <c r="L315" t="s">
        <v>2381</v>
      </c>
      <c r="M315" t="s">
        <v>598</v>
      </c>
      <c r="N315" t="s">
        <v>1133</v>
      </c>
      <c r="O315" t="s">
        <v>3895</v>
      </c>
      <c r="P315">
        <v>655.18700000000001</v>
      </c>
      <c r="Q315" t="s">
        <v>1450</v>
      </c>
      <c r="R315" t="s">
        <v>2534</v>
      </c>
      <c r="S315" t="s">
        <v>2381</v>
      </c>
      <c r="T315" t="s">
        <v>1133</v>
      </c>
    </row>
    <row r="316" spans="1:20">
      <c r="A316" t="s">
        <v>130</v>
      </c>
      <c r="B316" t="s">
        <v>1337</v>
      </c>
      <c r="C316" t="s">
        <v>936</v>
      </c>
      <c r="D316" t="s">
        <v>1300</v>
      </c>
      <c r="E316" t="s">
        <v>1337</v>
      </c>
      <c r="F316" t="s">
        <v>1670</v>
      </c>
      <c r="G316" t="s">
        <v>1747</v>
      </c>
      <c r="H316" t="s">
        <v>3451</v>
      </c>
      <c r="I316" t="s">
        <v>3452</v>
      </c>
      <c r="J316" t="s">
        <v>1337</v>
      </c>
      <c r="K316" t="s">
        <v>804</v>
      </c>
      <c r="L316" t="s">
        <v>804</v>
      </c>
      <c r="M316" t="s">
        <v>1670</v>
      </c>
      <c r="N316" t="s">
        <v>1747</v>
      </c>
      <c r="O316" t="s">
        <v>3451</v>
      </c>
      <c r="P316" t="s">
        <v>3452</v>
      </c>
      <c r="Q316" t="s">
        <v>1337</v>
      </c>
      <c r="R316" t="s">
        <v>804</v>
      </c>
      <c r="S316" t="s">
        <v>804</v>
      </c>
      <c r="T316" t="s">
        <v>717</v>
      </c>
    </row>
    <row r="317" spans="1:20">
      <c r="A317" t="s">
        <v>340</v>
      </c>
      <c r="B317" t="s">
        <v>2281</v>
      </c>
      <c r="C317" t="s">
        <v>937</v>
      </c>
      <c r="D317" t="s">
        <v>2281</v>
      </c>
      <c r="E317" t="s">
        <v>2672</v>
      </c>
      <c r="F317" t="s">
        <v>1201</v>
      </c>
      <c r="G317" t="s">
        <v>1524</v>
      </c>
      <c r="H317" t="s">
        <v>3896</v>
      </c>
      <c r="I317" t="s">
        <v>3897</v>
      </c>
      <c r="J317" t="s">
        <v>1095</v>
      </c>
      <c r="K317" t="s">
        <v>928</v>
      </c>
      <c r="L317" t="s">
        <v>2238</v>
      </c>
      <c r="M317" t="s">
        <v>1201</v>
      </c>
      <c r="N317" t="s">
        <v>1524</v>
      </c>
      <c r="O317" t="s">
        <v>3896</v>
      </c>
      <c r="P317" t="s">
        <v>3897</v>
      </c>
      <c r="Q317" t="s">
        <v>1095</v>
      </c>
      <c r="R317" t="s">
        <v>928</v>
      </c>
      <c r="S317" t="s">
        <v>2238</v>
      </c>
      <c r="T317" t="s">
        <v>2044</v>
      </c>
    </row>
    <row r="318" spans="1:20">
      <c r="A318" t="s">
        <v>341</v>
      </c>
      <c r="B318" t="s">
        <v>2894</v>
      </c>
      <c r="C318" t="s">
        <v>936</v>
      </c>
      <c r="D318" t="s">
        <v>2913</v>
      </c>
      <c r="E318" t="s">
        <v>2894</v>
      </c>
      <c r="F318" t="s">
        <v>593</v>
      </c>
      <c r="G318" t="s">
        <v>654</v>
      </c>
      <c r="H318" t="s">
        <v>3662</v>
      </c>
      <c r="I318" t="s">
        <v>3663</v>
      </c>
      <c r="J318" t="s">
        <v>1264</v>
      </c>
      <c r="K318" t="s">
        <v>842</v>
      </c>
      <c r="L318" t="s">
        <v>1680</v>
      </c>
      <c r="M318" t="s">
        <v>593</v>
      </c>
      <c r="N318" t="s">
        <v>654</v>
      </c>
      <c r="O318" t="s">
        <v>3662</v>
      </c>
      <c r="P318" t="s">
        <v>3663</v>
      </c>
      <c r="Q318" t="s">
        <v>1264</v>
      </c>
      <c r="R318" t="s">
        <v>842</v>
      </c>
      <c r="S318" t="s">
        <v>1680</v>
      </c>
      <c r="T318" t="s">
        <v>672</v>
      </c>
    </row>
    <row r="319" spans="1:20">
      <c r="A319" t="s">
        <v>342</v>
      </c>
      <c r="B319" t="s">
        <v>1710</v>
      </c>
      <c r="C319" t="s">
        <v>937</v>
      </c>
      <c r="D319" t="s">
        <v>2832</v>
      </c>
      <c r="E319" t="s">
        <v>1710</v>
      </c>
      <c r="F319" t="s">
        <v>477</v>
      </c>
      <c r="G319" t="s">
        <v>1780</v>
      </c>
      <c r="H319" t="s">
        <v>3392</v>
      </c>
      <c r="I319" t="s">
        <v>3393</v>
      </c>
      <c r="J319" t="s">
        <v>1215</v>
      </c>
      <c r="K319" t="s">
        <v>1614</v>
      </c>
      <c r="L319" t="s">
        <v>2526</v>
      </c>
      <c r="M319" t="s">
        <v>477</v>
      </c>
      <c r="N319" t="s">
        <v>1780</v>
      </c>
      <c r="O319" t="s">
        <v>3392</v>
      </c>
      <c r="P319" t="s">
        <v>3393</v>
      </c>
      <c r="Q319" t="s">
        <v>1215</v>
      </c>
      <c r="R319" t="s">
        <v>1614</v>
      </c>
      <c r="S319" t="s">
        <v>2526</v>
      </c>
      <c r="T319" t="s">
        <v>1617</v>
      </c>
    </row>
    <row r="320" spans="1:20">
      <c r="A320" t="s">
        <v>131</v>
      </c>
      <c r="B320" t="s">
        <v>2430</v>
      </c>
      <c r="C320" t="s">
        <v>936</v>
      </c>
      <c r="D320" t="s">
        <v>2430</v>
      </c>
      <c r="E320" t="s">
        <v>1419</v>
      </c>
      <c r="F320" t="s">
        <v>2046</v>
      </c>
      <c r="G320" t="s">
        <v>1308</v>
      </c>
      <c r="H320" t="s">
        <v>3268</v>
      </c>
      <c r="I320" t="s">
        <v>3269</v>
      </c>
      <c r="J320" t="s">
        <v>1308</v>
      </c>
      <c r="K320" t="s">
        <v>803</v>
      </c>
      <c r="L320" t="s">
        <v>2214</v>
      </c>
      <c r="M320" t="s">
        <v>2046</v>
      </c>
      <c r="N320" t="s">
        <v>1308</v>
      </c>
      <c r="O320" t="s">
        <v>3268</v>
      </c>
      <c r="P320" t="s">
        <v>3269</v>
      </c>
      <c r="Q320" t="s">
        <v>1308</v>
      </c>
      <c r="R320" t="s">
        <v>803</v>
      </c>
      <c r="S320" t="s">
        <v>2214</v>
      </c>
      <c r="T320" t="s">
        <v>1308</v>
      </c>
    </row>
    <row r="321" spans="1:20">
      <c r="A321" t="s">
        <v>547</v>
      </c>
      <c r="B321" t="s">
        <v>2807</v>
      </c>
      <c r="C321" t="s">
        <v>937</v>
      </c>
      <c r="D321" t="s">
        <v>2807</v>
      </c>
      <c r="E321" t="s">
        <v>1346</v>
      </c>
      <c r="F321" t="s">
        <v>1779</v>
      </c>
      <c r="G321" t="s">
        <v>604</v>
      </c>
      <c r="H321" t="s">
        <v>3752</v>
      </c>
      <c r="I321" t="s">
        <v>3753</v>
      </c>
      <c r="J321" t="s">
        <v>1347</v>
      </c>
      <c r="K321" t="s">
        <v>846</v>
      </c>
      <c r="L321" t="s">
        <v>2243</v>
      </c>
      <c r="M321" t="s">
        <v>1779</v>
      </c>
      <c r="N321" t="s">
        <v>604</v>
      </c>
      <c r="O321" t="s">
        <v>3752</v>
      </c>
      <c r="P321" t="s">
        <v>3753</v>
      </c>
      <c r="Q321" t="s">
        <v>1347</v>
      </c>
      <c r="R321" t="s">
        <v>846</v>
      </c>
      <c r="S321" t="s">
        <v>2243</v>
      </c>
      <c r="T321" t="s">
        <v>1166</v>
      </c>
    </row>
    <row r="322" spans="1:20">
      <c r="A322" t="s">
        <v>132</v>
      </c>
      <c r="B322" t="s">
        <v>2746</v>
      </c>
      <c r="C322" t="s">
        <v>937</v>
      </c>
      <c r="D322" t="s">
        <v>2746</v>
      </c>
      <c r="E322" t="s">
        <v>2528</v>
      </c>
      <c r="F322" t="s">
        <v>2960</v>
      </c>
      <c r="G322" t="s">
        <v>2047</v>
      </c>
      <c r="H322" t="s">
        <v>3532</v>
      </c>
      <c r="I322">
        <v>101.21</v>
      </c>
      <c r="J322" t="s">
        <v>1526</v>
      </c>
      <c r="K322" t="s">
        <v>2584</v>
      </c>
      <c r="L322" t="s">
        <v>639</v>
      </c>
      <c r="M322" t="s">
        <v>2960</v>
      </c>
      <c r="N322" t="s">
        <v>2047</v>
      </c>
      <c r="O322" t="s">
        <v>3532</v>
      </c>
      <c r="P322">
        <v>101.21</v>
      </c>
      <c r="Q322" t="s">
        <v>1526</v>
      </c>
      <c r="R322" t="s">
        <v>2584</v>
      </c>
      <c r="S322" t="s">
        <v>639</v>
      </c>
      <c r="T322" t="s">
        <v>1526</v>
      </c>
    </row>
    <row r="323" spans="1:20">
      <c r="A323" t="s">
        <v>133</v>
      </c>
      <c r="B323" t="s">
        <v>2529</v>
      </c>
      <c r="C323" t="s">
        <v>936</v>
      </c>
      <c r="D323" t="s">
        <v>2974</v>
      </c>
      <c r="E323" t="s">
        <v>2529</v>
      </c>
      <c r="F323" t="s">
        <v>1739</v>
      </c>
      <c r="G323" t="s">
        <v>2284</v>
      </c>
      <c r="H323" t="s">
        <v>3335</v>
      </c>
      <c r="I323">
        <v>171.07900000000001</v>
      </c>
      <c r="J323" t="s">
        <v>1257</v>
      </c>
      <c r="K323" t="s">
        <v>791</v>
      </c>
      <c r="L323" t="s">
        <v>791</v>
      </c>
      <c r="M323" t="s">
        <v>1739</v>
      </c>
      <c r="N323" t="s">
        <v>2284</v>
      </c>
      <c r="O323" t="s">
        <v>3335</v>
      </c>
      <c r="P323">
        <v>171.07900000000001</v>
      </c>
      <c r="Q323" t="s">
        <v>1257</v>
      </c>
      <c r="R323" t="s">
        <v>791</v>
      </c>
      <c r="S323" t="s">
        <v>791</v>
      </c>
      <c r="T323" t="s">
        <v>1257</v>
      </c>
    </row>
    <row r="324" spans="1:20">
      <c r="A324" t="s">
        <v>343</v>
      </c>
      <c r="B324" t="s">
        <v>2530</v>
      </c>
      <c r="C324" t="s">
        <v>936</v>
      </c>
      <c r="D324" t="s">
        <v>543</v>
      </c>
      <c r="E324" t="s">
        <v>2530</v>
      </c>
      <c r="F324" t="s">
        <v>2366</v>
      </c>
      <c r="G324" t="s">
        <v>2048</v>
      </c>
      <c r="H324" t="s">
        <v>3664</v>
      </c>
      <c r="I324" t="s">
        <v>3665</v>
      </c>
      <c r="J324" t="s">
        <v>654</v>
      </c>
      <c r="K324" t="s">
        <v>770</v>
      </c>
      <c r="L324" t="s">
        <v>1894</v>
      </c>
      <c r="M324" t="s">
        <v>2366</v>
      </c>
      <c r="N324" t="s">
        <v>2048</v>
      </c>
      <c r="O324" t="s">
        <v>3664</v>
      </c>
      <c r="P324" t="s">
        <v>3665</v>
      </c>
      <c r="Q324" t="s">
        <v>654</v>
      </c>
      <c r="R324" t="s">
        <v>770</v>
      </c>
      <c r="S324" t="s">
        <v>1894</v>
      </c>
      <c r="T324" t="s">
        <v>2048</v>
      </c>
    </row>
    <row r="325" spans="1:20">
      <c r="A325" t="s">
        <v>134</v>
      </c>
      <c r="B325" t="s">
        <v>2367</v>
      </c>
      <c r="C325" t="s">
        <v>937</v>
      </c>
      <c r="D325" t="s">
        <v>2367</v>
      </c>
      <c r="E325" t="s">
        <v>2118</v>
      </c>
      <c r="F325" t="s">
        <v>2438</v>
      </c>
      <c r="G325" t="s">
        <v>1756</v>
      </c>
      <c r="H325" t="s">
        <v>3533</v>
      </c>
      <c r="I325">
        <v>497.03199999999998</v>
      </c>
      <c r="J325" t="s">
        <v>598</v>
      </c>
      <c r="K325" t="s">
        <v>770</v>
      </c>
      <c r="L325" t="s">
        <v>2225</v>
      </c>
      <c r="M325" t="s">
        <v>2438</v>
      </c>
      <c r="N325" t="s">
        <v>1756</v>
      </c>
      <c r="O325" t="s">
        <v>3533</v>
      </c>
      <c r="P325">
        <v>497.03199999999998</v>
      </c>
      <c r="Q325" t="s">
        <v>598</v>
      </c>
      <c r="R325" t="s">
        <v>770</v>
      </c>
      <c r="S325" t="s">
        <v>2225</v>
      </c>
      <c r="T325" t="s">
        <v>2049</v>
      </c>
    </row>
    <row r="326" spans="1:20">
      <c r="A326" t="s">
        <v>344</v>
      </c>
      <c r="B326" t="s">
        <v>557</v>
      </c>
      <c r="C326" t="s">
        <v>937</v>
      </c>
      <c r="E326" t="s">
        <v>557</v>
      </c>
      <c r="F326" t="s">
        <v>2050</v>
      </c>
      <c r="G326" t="s">
        <v>557</v>
      </c>
      <c r="H326" t="s">
        <v>3574</v>
      </c>
      <c r="I326" t="s">
        <v>3575</v>
      </c>
      <c r="J326" t="s">
        <v>1047</v>
      </c>
      <c r="K326" t="s">
        <v>768</v>
      </c>
      <c r="L326" t="s">
        <v>2855</v>
      </c>
      <c r="M326" t="s">
        <v>2050</v>
      </c>
      <c r="N326" t="s">
        <v>557</v>
      </c>
      <c r="O326" t="s">
        <v>3574</v>
      </c>
      <c r="P326" t="s">
        <v>3575</v>
      </c>
      <c r="Q326" t="s">
        <v>1047</v>
      </c>
      <c r="R326" t="s">
        <v>768</v>
      </c>
      <c r="S326" t="s">
        <v>2855</v>
      </c>
      <c r="T326" t="s">
        <v>2051</v>
      </c>
    </row>
    <row r="327" spans="1:20">
      <c r="A327" t="s">
        <v>135</v>
      </c>
      <c r="B327" t="s">
        <v>3018</v>
      </c>
      <c r="C327" t="s">
        <v>937</v>
      </c>
      <c r="D327" t="s">
        <v>1960</v>
      </c>
      <c r="E327" t="s">
        <v>3018</v>
      </c>
      <c r="F327" t="s">
        <v>2156</v>
      </c>
      <c r="G327" t="s">
        <v>1603</v>
      </c>
      <c r="H327" t="s">
        <v>3428</v>
      </c>
      <c r="I327">
        <v>252.292</v>
      </c>
      <c r="J327" t="s">
        <v>562</v>
      </c>
      <c r="K327" t="s">
        <v>731</v>
      </c>
      <c r="L327" t="s">
        <v>2744</v>
      </c>
      <c r="M327" t="s">
        <v>2156</v>
      </c>
      <c r="N327" t="s">
        <v>1603</v>
      </c>
      <c r="O327" t="s">
        <v>3428</v>
      </c>
      <c r="P327">
        <v>252.292</v>
      </c>
      <c r="Q327" t="s">
        <v>562</v>
      </c>
      <c r="R327" t="s">
        <v>731</v>
      </c>
      <c r="S327" t="s">
        <v>2744</v>
      </c>
      <c r="T327" t="s">
        <v>906</v>
      </c>
    </row>
    <row r="328" spans="1:20">
      <c r="A328" t="s">
        <v>136</v>
      </c>
      <c r="B328" t="s">
        <v>3215</v>
      </c>
      <c r="C328" t="s">
        <v>937</v>
      </c>
      <c r="D328" t="s">
        <v>3215</v>
      </c>
      <c r="E328" t="s">
        <v>3134</v>
      </c>
      <c r="F328" t="s">
        <v>2169</v>
      </c>
      <c r="G328" t="s">
        <v>2052</v>
      </c>
      <c r="H328" t="s">
        <v>3336</v>
      </c>
      <c r="I328">
        <v>112.563</v>
      </c>
      <c r="J328" t="s">
        <v>1528</v>
      </c>
      <c r="K328" t="s">
        <v>2813</v>
      </c>
      <c r="L328" t="s">
        <v>2349</v>
      </c>
      <c r="M328" t="s">
        <v>2169</v>
      </c>
      <c r="N328" t="s">
        <v>2052</v>
      </c>
      <c r="O328" t="s">
        <v>3336</v>
      </c>
      <c r="P328">
        <v>112.563</v>
      </c>
      <c r="Q328" t="s">
        <v>1528</v>
      </c>
      <c r="R328" t="s">
        <v>2813</v>
      </c>
      <c r="S328" t="s">
        <v>2349</v>
      </c>
      <c r="T328" t="s">
        <v>2052</v>
      </c>
    </row>
    <row r="329" spans="1:20">
      <c r="A329" t="s">
        <v>345</v>
      </c>
      <c r="B329" t="s">
        <v>1263</v>
      </c>
      <c r="C329" t="s">
        <v>937</v>
      </c>
      <c r="D329" t="s">
        <v>1263</v>
      </c>
      <c r="E329" t="s">
        <v>2049</v>
      </c>
      <c r="F329" t="s">
        <v>2367</v>
      </c>
      <c r="G329" t="s">
        <v>1709</v>
      </c>
      <c r="H329" t="s">
        <v>3627</v>
      </c>
      <c r="I329">
        <v>765.50400000000002</v>
      </c>
      <c r="J329" t="s">
        <v>1366</v>
      </c>
      <c r="K329" t="s">
        <v>2605</v>
      </c>
      <c r="L329" t="s">
        <v>1597</v>
      </c>
      <c r="M329" t="s">
        <v>2367</v>
      </c>
      <c r="N329" t="s">
        <v>1709</v>
      </c>
      <c r="O329" t="s">
        <v>3627</v>
      </c>
      <c r="P329">
        <v>765.50400000000002</v>
      </c>
      <c r="Q329" t="s">
        <v>1366</v>
      </c>
      <c r="R329" t="s">
        <v>2605</v>
      </c>
      <c r="S329" t="s">
        <v>1597</v>
      </c>
      <c r="T329" t="s">
        <v>1808</v>
      </c>
    </row>
    <row r="330" spans="1:20">
      <c r="A330" t="s">
        <v>346</v>
      </c>
      <c r="B330" t="s">
        <v>2685</v>
      </c>
      <c r="C330" t="s">
        <v>936</v>
      </c>
      <c r="D330" t="s">
        <v>2131</v>
      </c>
      <c r="E330" t="s">
        <v>2685</v>
      </c>
      <c r="F330" t="s">
        <v>604</v>
      </c>
      <c r="G330" t="s">
        <v>2436</v>
      </c>
      <c r="H330" t="s">
        <v>4022</v>
      </c>
      <c r="I330" t="s">
        <v>4023</v>
      </c>
      <c r="J330" t="s">
        <v>1529</v>
      </c>
      <c r="K330" t="s">
        <v>845</v>
      </c>
      <c r="L330" t="s">
        <v>985</v>
      </c>
      <c r="M330" t="s">
        <v>604</v>
      </c>
      <c r="N330" t="s">
        <v>2436</v>
      </c>
      <c r="O330" t="s">
        <v>4022</v>
      </c>
      <c r="P330" t="s">
        <v>4023</v>
      </c>
      <c r="Q330" t="s">
        <v>1529</v>
      </c>
      <c r="R330" t="s">
        <v>845</v>
      </c>
      <c r="S330" t="s">
        <v>985</v>
      </c>
      <c r="T330" t="s">
        <v>1460</v>
      </c>
    </row>
    <row r="331" spans="1:20">
      <c r="A331" t="s">
        <v>347</v>
      </c>
      <c r="B331" t="s">
        <v>1449</v>
      </c>
      <c r="C331" t="s">
        <v>936</v>
      </c>
      <c r="D331" t="s">
        <v>1449</v>
      </c>
      <c r="F331" t="s">
        <v>1449</v>
      </c>
      <c r="G331" t="s">
        <v>2053</v>
      </c>
      <c r="H331" t="s">
        <v>3398</v>
      </c>
      <c r="I331" t="s">
        <v>3399</v>
      </c>
      <c r="J331" t="s">
        <v>1531</v>
      </c>
      <c r="K331" t="s">
        <v>2471</v>
      </c>
      <c r="L331" t="s">
        <v>852</v>
      </c>
      <c r="M331" t="s">
        <v>1449</v>
      </c>
      <c r="N331" t="s">
        <v>2053</v>
      </c>
      <c r="O331" t="s">
        <v>3398</v>
      </c>
      <c r="P331" t="s">
        <v>3399</v>
      </c>
      <c r="Q331" t="s">
        <v>1531</v>
      </c>
      <c r="R331" t="s">
        <v>2471</v>
      </c>
      <c r="S331" t="s">
        <v>852</v>
      </c>
      <c r="T331" t="s">
        <v>1529</v>
      </c>
    </row>
    <row r="332" spans="1:20">
      <c r="A332" t="s">
        <v>137</v>
      </c>
      <c r="B332" t="s">
        <v>1532</v>
      </c>
      <c r="C332" t="s">
        <v>937</v>
      </c>
      <c r="D332" t="s">
        <v>1532</v>
      </c>
      <c r="E332" t="s">
        <v>2778</v>
      </c>
      <c r="F332" t="s">
        <v>2054</v>
      </c>
      <c r="G332" t="s">
        <v>2146</v>
      </c>
      <c r="H332" t="s">
        <v>3460</v>
      </c>
      <c r="I332" t="s">
        <v>3461</v>
      </c>
      <c r="J332" t="s">
        <v>1532</v>
      </c>
      <c r="K332" t="s">
        <v>804</v>
      </c>
      <c r="L332" t="s">
        <v>804</v>
      </c>
      <c r="M332" t="s">
        <v>2054</v>
      </c>
      <c r="N332" t="s">
        <v>2146</v>
      </c>
      <c r="O332" t="s">
        <v>3460</v>
      </c>
      <c r="P332" t="s">
        <v>3461</v>
      </c>
      <c r="Q332" t="s">
        <v>1532</v>
      </c>
      <c r="R332" t="s">
        <v>804</v>
      </c>
      <c r="S332" t="s">
        <v>804</v>
      </c>
      <c r="T332" t="s">
        <v>2055</v>
      </c>
    </row>
    <row r="333" spans="1:20">
      <c r="A333" t="s">
        <v>348</v>
      </c>
      <c r="B333" t="s">
        <v>1003</v>
      </c>
      <c r="C333" t="s">
        <v>937</v>
      </c>
      <c r="D333" t="s">
        <v>1516</v>
      </c>
      <c r="E333" t="s">
        <v>1003</v>
      </c>
      <c r="F333" t="s">
        <v>867</v>
      </c>
      <c r="G333" t="s">
        <v>2056</v>
      </c>
      <c r="H333" t="s">
        <v>3754</v>
      </c>
      <c r="I333" t="s">
        <v>3755</v>
      </c>
      <c r="J333" t="s">
        <v>1533</v>
      </c>
      <c r="K333" t="s">
        <v>1621</v>
      </c>
      <c r="L333" t="s">
        <v>2538</v>
      </c>
      <c r="M333" t="s">
        <v>867</v>
      </c>
      <c r="N333" t="s">
        <v>2056</v>
      </c>
      <c r="O333" t="s">
        <v>3754</v>
      </c>
      <c r="P333" t="s">
        <v>3755</v>
      </c>
      <c r="Q333" t="s">
        <v>1533</v>
      </c>
      <c r="R333" t="s">
        <v>1621</v>
      </c>
      <c r="S333" t="s">
        <v>2538</v>
      </c>
      <c r="T333" t="s">
        <v>1533</v>
      </c>
    </row>
    <row r="334" spans="1:20">
      <c r="A334" t="s">
        <v>349</v>
      </c>
      <c r="B334" t="s">
        <v>683</v>
      </c>
      <c r="C334" t="s">
        <v>937</v>
      </c>
      <c r="D334" t="s">
        <v>2710</v>
      </c>
      <c r="E334" t="s">
        <v>683</v>
      </c>
      <c r="F334" t="s">
        <v>1479</v>
      </c>
      <c r="G334" t="s">
        <v>1218</v>
      </c>
      <c r="H334" t="s">
        <v>4024</v>
      </c>
      <c r="I334" t="s">
        <v>4025</v>
      </c>
      <c r="J334" t="s">
        <v>720</v>
      </c>
      <c r="K334" t="s">
        <v>761</v>
      </c>
      <c r="L334" t="s">
        <v>1672</v>
      </c>
      <c r="M334" t="s">
        <v>1479</v>
      </c>
      <c r="N334" t="s">
        <v>1218</v>
      </c>
      <c r="O334" t="s">
        <v>4024</v>
      </c>
      <c r="P334" t="s">
        <v>4025</v>
      </c>
      <c r="Q334" t="s">
        <v>720</v>
      </c>
      <c r="R334" t="s">
        <v>761</v>
      </c>
      <c r="S334" t="s">
        <v>1672</v>
      </c>
      <c r="T334" t="s">
        <v>720</v>
      </c>
    </row>
    <row r="335" spans="1:20">
      <c r="A335" t="s">
        <v>437</v>
      </c>
      <c r="B335" t="s">
        <v>2706</v>
      </c>
      <c r="C335" t="s">
        <v>937</v>
      </c>
      <c r="D335" t="s">
        <v>2927</v>
      </c>
      <c r="E335" t="s">
        <v>2706</v>
      </c>
      <c r="F335" t="s">
        <v>2057</v>
      </c>
      <c r="G335" t="s">
        <v>1735</v>
      </c>
      <c r="H335" t="s">
        <v>4107</v>
      </c>
      <c r="I335">
        <v>263.29000000000002</v>
      </c>
      <c r="J335" t="s">
        <v>1305</v>
      </c>
      <c r="K335" t="s">
        <v>1021</v>
      </c>
      <c r="L335" t="s">
        <v>2254</v>
      </c>
      <c r="M335" t="s">
        <v>2057</v>
      </c>
      <c r="N335" t="s">
        <v>1735</v>
      </c>
      <c r="O335" t="s">
        <v>4107</v>
      </c>
      <c r="P335">
        <v>263.29000000000002</v>
      </c>
      <c r="Q335" t="s">
        <v>1305</v>
      </c>
      <c r="R335" t="s">
        <v>1021</v>
      </c>
      <c r="S335" t="s">
        <v>2254</v>
      </c>
      <c r="T335" t="s">
        <v>2058</v>
      </c>
    </row>
    <row r="336" spans="1:20">
      <c r="A336" t="s">
        <v>138</v>
      </c>
      <c r="B336" t="s">
        <v>2694</v>
      </c>
      <c r="C336" t="s">
        <v>936</v>
      </c>
      <c r="D336" t="s">
        <v>2532</v>
      </c>
      <c r="E336" t="s">
        <v>2694</v>
      </c>
      <c r="F336" t="s">
        <v>2286</v>
      </c>
      <c r="G336" t="s">
        <v>814</v>
      </c>
      <c r="H336" t="s">
        <v>3476</v>
      </c>
      <c r="I336" t="s">
        <v>3477</v>
      </c>
      <c r="J336" t="s">
        <v>814</v>
      </c>
      <c r="K336" t="s">
        <v>1227</v>
      </c>
      <c r="L336" t="s">
        <v>2574</v>
      </c>
      <c r="M336" t="s">
        <v>2286</v>
      </c>
      <c r="N336" t="s">
        <v>814</v>
      </c>
      <c r="O336" t="s">
        <v>3476</v>
      </c>
      <c r="P336" t="s">
        <v>3477</v>
      </c>
      <c r="Q336" t="s">
        <v>814</v>
      </c>
      <c r="R336" t="s">
        <v>1227</v>
      </c>
      <c r="S336" t="s">
        <v>2574</v>
      </c>
      <c r="T336" t="s">
        <v>1661</v>
      </c>
    </row>
    <row r="337" spans="1:20">
      <c r="A337" t="s">
        <v>350</v>
      </c>
      <c r="B337" t="s">
        <v>2919</v>
      </c>
      <c r="C337" t="s">
        <v>937</v>
      </c>
      <c r="D337" t="s">
        <v>2919</v>
      </c>
      <c r="E337" t="s">
        <v>2529</v>
      </c>
      <c r="F337" t="s">
        <v>1768</v>
      </c>
      <c r="G337" t="s">
        <v>1281</v>
      </c>
      <c r="H337" t="s">
        <v>4026</v>
      </c>
      <c r="I337" t="s">
        <v>4027</v>
      </c>
      <c r="J337" t="s">
        <v>1281</v>
      </c>
      <c r="K337" t="s">
        <v>1387</v>
      </c>
      <c r="L337" t="s">
        <v>705</v>
      </c>
      <c r="M337" t="s">
        <v>1768</v>
      </c>
      <c r="N337" t="s">
        <v>1281</v>
      </c>
      <c r="O337" t="s">
        <v>4026</v>
      </c>
      <c r="P337" t="s">
        <v>4027</v>
      </c>
      <c r="Q337" t="s">
        <v>1281</v>
      </c>
      <c r="R337" t="s">
        <v>1387</v>
      </c>
      <c r="S337" t="s">
        <v>705</v>
      </c>
      <c r="T337" t="s">
        <v>1281</v>
      </c>
    </row>
    <row r="338" spans="1:20">
      <c r="A338" t="s">
        <v>351</v>
      </c>
      <c r="B338" t="s">
        <v>2770</v>
      </c>
      <c r="C338" t="s">
        <v>936</v>
      </c>
      <c r="D338" t="s">
        <v>659</v>
      </c>
      <c r="E338" t="s">
        <v>2770</v>
      </c>
      <c r="F338" t="s">
        <v>1898</v>
      </c>
      <c r="G338" t="s">
        <v>2613</v>
      </c>
      <c r="H338" t="s">
        <v>3414</v>
      </c>
      <c r="I338" t="s">
        <v>3415</v>
      </c>
      <c r="J338" t="s">
        <v>706</v>
      </c>
      <c r="K338" t="s">
        <v>781</v>
      </c>
      <c r="L338" t="s">
        <v>2268</v>
      </c>
      <c r="M338" t="s">
        <v>1898</v>
      </c>
      <c r="N338" t="s">
        <v>2613</v>
      </c>
      <c r="O338" t="s">
        <v>3414</v>
      </c>
      <c r="P338" t="s">
        <v>3415</v>
      </c>
      <c r="Q338" t="s">
        <v>706</v>
      </c>
      <c r="R338" t="s">
        <v>781</v>
      </c>
      <c r="S338" t="s">
        <v>2268</v>
      </c>
      <c r="T338" t="s">
        <v>1113</v>
      </c>
    </row>
    <row r="339" spans="1:20">
      <c r="A339" t="s">
        <v>139</v>
      </c>
      <c r="B339" t="s">
        <v>2430</v>
      </c>
      <c r="C339" t="s">
        <v>936</v>
      </c>
      <c r="D339" t="s">
        <v>2430</v>
      </c>
      <c r="E339" t="s">
        <v>1419</v>
      </c>
      <c r="F339" t="s">
        <v>2158</v>
      </c>
      <c r="G339" t="s">
        <v>1647</v>
      </c>
      <c r="H339" t="s">
        <v>3534</v>
      </c>
      <c r="I339" t="s">
        <v>3535</v>
      </c>
      <c r="J339" t="s">
        <v>828</v>
      </c>
      <c r="K339" t="s">
        <v>790</v>
      </c>
      <c r="L339" t="s">
        <v>810</v>
      </c>
      <c r="M339" t="s">
        <v>2158</v>
      </c>
      <c r="N339" t="s">
        <v>1647</v>
      </c>
      <c r="O339" t="s">
        <v>3534</v>
      </c>
      <c r="P339" t="s">
        <v>3535</v>
      </c>
      <c r="Q339" t="s">
        <v>828</v>
      </c>
      <c r="R339" t="s">
        <v>790</v>
      </c>
      <c r="S339" t="s">
        <v>810</v>
      </c>
      <c r="T339" t="s">
        <v>2028</v>
      </c>
    </row>
    <row r="340" spans="1:20">
      <c r="A340" t="s">
        <v>352</v>
      </c>
      <c r="B340" t="s">
        <v>789</v>
      </c>
      <c r="C340" t="s">
        <v>937</v>
      </c>
      <c r="D340" t="s">
        <v>789</v>
      </c>
      <c r="E340" t="s">
        <v>1448</v>
      </c>
      <c r="F340" t="s">
        <v>1184</v>
      </c>
      <c r="G340" t="s">
        <v>789</v>
      </c>
      <c r="H340" t="s">
        <v>3898</v>
      </c>
      <c r="I340" t="s">
        <v>3899</v>
      </c>
      <c r="J340" t="s">
        <v>1455</v>
      </c>
      <c r="K340" t="s">
        <v>751</v>
      </c>
      <c r="L340" t="s">
        <v>2720</v>
      </c>
      <c r="M340" t="s">
        <v>1184</v>
      </c>
      <c r="N340" t="s">
        <v>789</v>
      </c>
      <c r="O340" t="s">
        <v>3898</v>
      </c>
      <c r="P340" t="s">
        <v>3899</v>
      </c>
      <c r="Q340" t="s">
        <v>1455</v>
      </c>
      <c r="R340" t="s">
        <v>751</v>
      </c>
      <c r="S340" t="s">
        <v>2720</v>
      </c>
      <c r="T340" t="s">
        <v>1550</v>
      </c>
    </row>
    <row r="341" spans="1:20">
      <c r="A341" t="s">
        <v>353</v>
      </c>
      <c r="B341" t="s">
        <v>2751</v>
      </c>
      <c r="C341" t="s">
        <v>936</v>
      </c>
      <c r="D341" t="s">
        <v>2309</v>
      </c>
      <c r="E341" t="s">
        <v>2751</v>
      </c>
      <c r="F341" t="s">
        <v>1700</v>
      </c>
      <c r="G341" t="s">
        <v>1054</v>
      </c>
      <c r="H341" t="s">
        <v>3594</v>
      </c>
      <c r="I341" t="s">
        <v>3595</v>
      </c>
      <c r="J341" t="s">
        <v>1073</v>
      </c>
      <c r="K341" t="s">
        <v>952</v>
      </c>
      <c r="L341" t="s">
        <v>2254</v>
      </c>
      <c r="M341" t="s">
        <v>1700</v>
      </c>
      <c r="N341" t="s">
        <v>1054</v>
      </c>
      <c r="O341" t="s">
        <v>3594</v>
      </c>
      <c r="P341" t="s">
        <v>3595</v>
      </c>
      <c r="Q341" t="s">
        <v>1073</v>
      </c>
      <c r="R341" t="s">
        <v>952</v>
      </c>
      <c r="S341" t="s">
        <v>2254</v>
      </c>
      <c r="T341" t="s">
        <v>1073</v>
      </c>
    </row>
    <row r="342" spans="1:20">
      <c r="A342" t="s">
        <v>140</v>
      </c>
      <c r="B342" t="s">
        <v>2450</v>
      </c>
      <c r="C342" t="s">
        <v>937</v>
      </c>
      <c r="D342" t="s">
        <v>2450</v>
      </c>
      <c r="E342" t="s">
        <v>3055</v>
      </c>
      <c r="F342" t="s">
        <v>1429</v>
      </c>
      <c r="G342" t="s">
        <v>1488</v>
      </c>
      <c r="H342" t="s">
        <v>3576</v>
      </c>
      <c r="I342" t="s">
        <v>3577</v>
      </c>
      <c r="J342" t="s">
        <v>1514</v>
      </c>
      <c r="K342" t="s">
        <v>1683</v>
      </c>
      <c r="L342" t="s">
        <v>2180</v>
      </c>
      <c r="M342" t="s">
        <v>1429</v>
      </c>
      <c r="N342" t="s">
        <v>1488</v>
      </c>
      <c r="O342" t="s">
        <v>3576</v>
      </c>
      <c r="P342" t="s">
        <v>3577</v>
      </c>
      <c r="Q342" t="s">
        <v>1514</v>
      </c>
      <c r="R342" t="s">
        <v>1683</v>
      </c>
      <c r="S342" t="s">
        <v>2180</v>
      </c>
      <c r="T342" t="s">
        <v>784</v>
      </c>
    </row>
    <row r="343" spans="1:20">
      <c r="A343" t="s">
        <v>354</v>
      </c>
      <c r="B343" t="s">
        <v>1108</v>
      </c>
      <c r="C343" t="s">
        <v>936</v>
      </c>
      <c r="D343" t="s">
        <v>1108</v>
      </c>
      <c r="E343" t="s">
        <v>2287</v>
      </c>
      <c r="F343" t="s">
        <v>1534</v>
      </c>
      <c r="G343" t="s">
        <v>2245</v>
      </c>
      <c r="H343" t="s">
        <v>3462</v>
      </c>
      <c r="I343" t="s">
        <v>3463</v>
      </c>
      <c r="J343" t="s">
        <v>1352</v>
      </c>
      <c r="K343" t="s">
        <v>792</v>
      </c>
      <c r="L343" t="s">
        <v>3050</v>
      </c>
      <c r="M343" t="s">
        <v>1534</v>
      </c>
      <c r="N343" t="s">
        <v>2245</v>
      </c>
      <c r="O343" t="s">
        <v>3462</v>
      </c>
      <c r="P343" t="s">
        <v>3463</v>
      </c>
      <c r="Q343" t="s">
        <v>1352</v>
      </c>
      <c r="R343" t="s">
        <v>792</v>
      </c>
      <c r="S343" t="s">
        <v>3050</v>
      </c>
      <c r="T343" t="s">
        <v>977</v>
      </c>
    </row>
    <row r="344" spans="1:20">
      <c r="A344" t="s">
        <v>141</v>
      </c>
      <c r="B344" t="s">
        <v>3205</v>
      </c>
      <c r="C344" t="s">
        <v>936</v>
      </c>
      <c r="D344" t="s">
        <v>3205</v>
      </c>
      <c r="E344" t="s">
        <v>3285</v>
      </c>
      <c r="F344" t="s">
        <v>3205</v>
      </c>
      <c r="G344" t="s">
        <v>1826</v>
      </c>
      <c r="H344" t="s">
        <v>3494</v>
      </c>
      <c r="I344">
        <v>802.54200000000003</v>
      </c>
      <c r="J344" t="s">
        <v>1476</v>
      </c>
      <c r="K344" t="s">
        <v>1474</v>
      </c>
      <c r="L344" t="s">
        <v>2865</v>
      </c>
      <c r="M344" t="s">
        <v>3205</v>
      </c>
      <c r="N344" t="s">
        <v>1826</v>
      </c>
      <c r="O344" t="s">
        <v>3494</v>
      </c>
      <c r="P344">
        <v>802.54200000000003</v>
      </c>
      <c r="Q344" t="s">
        <v>1476</v>
      </c>
      <c r="R344" t="s">
        <v>1474</v>
      </c>
      <c r="S344" t="s">
        <v>2865</v>
      </c>
      <c r="T344" t="s">
        <v>1476</v>
      </c>
    </row>
    <row r="345" spans="1:20">
      <c r="A345" t="s">
        <v>142</v>
      </c>
      <c r="B345" t="s">
        <v>1067</v>
      </c>
      <c r="C345" t="s">
        <v>937</v>
      </c>
      <c r="D345" t="s">
        <v>2772</v>
      </c>
      <c r="E345" t="s">
        <v>1067</v>
      </c>
      <c r="F345" t="s">
        <v>2059</v>
      </c>
      <c r="G345" t="s">
        <v>1240</v>
      </c>
      <c r="H345" t="s">
        <v>3495</v>
      </c>
      <c r="I345" t="s">
        <v>3496</v>
      </c>
      <c r="J345" t="s">
        <v>961</v>
      </c>
      <c r="K345" t="s">
        <v>878</v>
      </c>
      <c r="L345" t="s">
        <v>1016</v>
      </c>
      <c r="M345" t="s">
        <v>2059</v>
      </c>
      <c r="N345" t="s">
        <v>1240</v>
      </c>
      <c r="O345" t="s">
        <v>3495</v>
      </c>
      <c r="P345" t="s">
        <v>3496</v>
      </c>
      <c r="Q345" t="s">
        <v>961</v>
      </c>
      <c r="R345" t="s">
        <v>878</v>
      </c>
      <c r="S345" t="s">
        <v>1016</v>
      </c>
      <c r="T345" t="s">
        <v>1489</v>
      </c>
    </row>
    <row r="346" spans="1:20">
      <c r="A346" t="s">
        <v>143</v>
      </c>
      <c r="B346" t="s">
        <v>2420</v>
      </c>
      <c r="C346" t="s">
        <v>936</v>
      </c>
      <c r="D346" t="s">
        <v>2420</v>
      </c>
      <c r="E346" t="s">
        <v>1842</v>
      </c>
      <c r="F346" t="s">
        <v>1831</v>
      </c>
      <c r="G346" t="s">
        <v>1870</v>
      </c>
      <c r="H346" t="s">
        <v>3805</v>
      </c>
      <c r="I346" t="s">
        <v>3806</v>
      </c>
      <c r="J346" t="s">
        <v>1233</v>
      </c>
      <c r="K346" t="s">
        <v>753</v>
      </c>
      <c r="L346" t="s">
        <v>1628</v>
      </c>
      <c r="M346" t="s">
        <v>1831</v>
      </c>
      <c r="N346" t="s">
        <v>1870</v>
      </c>
      <c r="O346" t="s">
        <v>3805</v>
      </c>
      <c r="P346" t="s">
        <v>3806</v>
      </c>
      <c r="Q346" t="s">
        <v>1233</v>
      </c>
      <c r="R346" t="s">
        <v>753</v>
      </c>
      <c r="S346" t="s">
        <v>1628</v>
      </c>
      <c r="T346" t="s">
        <v>1233</v>
      </c>
    </row>
    <row r="347" spans="1:20">
      <c r="A347" t="s">
        <v>144</v>
      </c>
      <c r="B347" t="s">
        <v>1535</v>
      </c>
      <c r="C347" t="s">
        <v>936</v>
      </c>
      <c r="D347" t="s">
        <v>2166</v>
      </c>
      <c r="E347" t="s">
        <v>1535</v>
      </c>
      <c r="F347" t="s">
        <v>1803</v>
      </c>
      <c r="G347" t="s">
        <v>2435</v>
      </c>
      <c r="H347" t="s">
        <v>3478</v>
      </c>
      <c r="I347" t="s">
        <v>3479</v>
      </c>
      <c r="J347" t="s">
        <v>1535</v>
      </c>
      <c r="K347" t="s">
        <v>804</v>
      </c>
      <c r="L347" t="s">
        <v>804</v>
      </c>
      <c r="M347" t="s">
        <v>1803</v>
      </c>
      <c r="N347" t="s">
        <v>2435</v>
      </c>
      <c r="O347" t="s">
        <v>3478</v>
      </c>
      <c r="P347" t="s">
        <v>3479</v>
      </c>
      <c r="Q347" t="s">
        <v>1535</v>
      </c>
      <c r="R347" t="s">
        <v>804</v>
      </c>
      <c r="S347" t="s">
        <v>804</v>
      </c>
      <c r="T347" t="s">
        <v>2060</v>
      </c>
    </row>
    <row r="348" spans="1:20">
      <c r="A348" t="s">
        <v>145</v>
      </c>
      <c r="B348" t="s">
        <v>2765</v>
      </c>
      <c r="C348" t="s">
        <v>937</v>
      </c>
      <c r="D348" t="s">
        <v>2764</v>
      </c>
      <c r="E348" t="s">
        <v>2765</v>
      </c>
      <c r="F348" t="s">
        <v>1646</v>
      </c>
      <c r="G348" t="s">
        <v>1178</v>
      </c>
      <c r="H348" t="s">
        <v>3807</v>
      </c>
      <c r="I348" t="s">
        <v>3808</v>
      </c>
      <c r="J348" t="s">
        <v>1403</v>
      </c>
      <c r="K348" t="s">
        <v>1212</v>
      </c>
      <c r="L348" t="s">
        <v>922</v>
      </c>
      <c r="M348" t="s">
        <v>1646</v>
      </c>
      <c r="N348" t="s">
        <v>1178</v>
      </c>
      <c r="O348" t="s">
        <v>3807</v>
      </c>
      <c r="P348" t="s">
        <v>3808</v>
      </c>
      <c r="Q348" t="s">
        <v>1403</v>
      </c>
      <c r="R348" t="s">
        <v>1212</v>
      </c>
      <c r="S348" t="s">
        <v>922</v>
      </c>
      <c r="T348" t="s">
        <v>1646</v>
      </c>
    </row>
    <row r="349" spans="1:20">
      <c r="A349" t="s">
        <v>355</v>
      </c>
      <c r="B349" t="s">
        <v>2766</v>
      </c>
      <c r="C349" t="s">
        <v>937</v>
      </c>
      <c r="D349" t="s">
        <v>2766</v>
      </c>
      <c r="E349" t="s">
        <v>1010</v>
      </c>
      <c r="F349" t="s">
        <v>2346</v>
      </c>
      <c r="G349" t="s">
        <v>1250</v>
      </c>
      <c r="H349" t="s">
        <v>4028</v>
      </c>
      <c r="I349" t="s">
        <v>4029</v>
      </c>
      <c r="J349" t="s">
        <v>1104</v>
      </c>
      <c r="K349" t="s">
        <v>823</v>
      </c>
      <c r="L349" t="s">
        <v>1180</v>
      </c>
      <c r="M349" t="s">
        <v>2346</v>
      </c>
      <c r="N349" t="s">
        <v>1250</v>
      </c>
      <c r="O349" t="s">
        <v>4028</v>
      </c>
      <c r="P349" t="s">
        <v>4029</v>
      </c>
      <c r="Q349" t="s">
        <v>1104</v>
      </c>
      <c r="R349" t="s">
        <v>823</v>
      </c>
      <c r="S349" t="s">
        <v>1180</v>
      </c>
      <c r="T349" t="s">
        <v>1104</v>
      </c>
    </row>
    <row r="350" spans="1:20">
      <c r="A350" t="s">
        <v>356</v>
      </c>
      <c r="B350" t="s">
        <v>2901</v>
      </c>
      <c r="C350" t="s">
        <v>937</v>
      </c>
      <c r="D350" t="s">
        <v>2902</v>
      </c>
      <c r="E350" t="s">
        <v>2802</v>
      </c>
      <c r="F350" t="s">
        <v>1667</v>
      </c>
      <c r="G350" t="s">
        <v>1382</v>
      </c>
      <c r="H350" t="s">
        <v>4108</v>
      </c>
      <c r="I350" t="s">
        <v>4086</v>
      </c>
      <c r="J350" t="s">
        <v>1349</v>
      </c>
      <c r="K350" t="s">
        <v>801</v>
      </c>
      <c r="L350" t="s">
        <v>2517</v>
      </c>
      <c r="M350" t="s">
        <v>1667</v>
      </c>
      <c r="N350" t="s">
        <v>1382</v>
      </c>
      <c r="O350" t="s">
        <v>4108</v>
      </c>
      <c r="P350" t="s">
        <v>4086</v>
      </c>
      <c r="Q350" t="s">
        <v>1349</v>
      </c>
      <c r="R350" t="s">
        <v>801</v>
      </c>
      <c r="S350" t="s">
        <v>2517</v>
      </c>
      <c r="T350" t="s">
        <v>1695</v>
      </c>
    </row>
    <row r="351" spans="1:20">
      <c r="A351" t="s">
        <v>146</v>
      </c>
      <c r="B351" t="s">
        <v>2813</v>
      </c>
      <c r="C351" t="s">
        <v>937</v>
      </c>
      <c r="D351" t="s">
        <v>1774</v>
      </c>
      <c r="E351" t="s">
        <v>2813</v>
      </c>
      <c r="F351" t="s">
        <v>1283</v>
      </c>
      <c r="G351" t="s">
        <v>1634</v>
      </c>
      <c r="H351" t="s">
        <v>3550</v>
      </c>
      <c r="I351">
        <v>438.20699999999999</v>
      </c>
      <c r="J351" t="s">
        <v>1292</v>
      </c>
      <c r="K351" t="s">
        <v>1614</v>
      </c>
      <c r="L351" t="s">
        <v>1150</v>
      </c>
      <c r="M351" t="s">
        <v>1283</v>
      </c>
      <c r="N351" t="s">
        <v>1634</v>
      </c>
      <c r="O351" t="s">
        <v>3550</v>
      </c>
      <c r="P351">
        <v>438.20699999999999</v>
      </c>
      <c r="Q351" t="s">
        <v>1292</v>
      </c>
      <c r="R351" t="s">
        <v>1614</v>
      </c>
      <c r="S351" t="s">
        <v>1150</v>
      </c>
      <c r="T351" t="s">
        <v>2061</v>
      </c>
    </row>
    <row r="352" spans="1:20">
      <c r="A352" t="s">
        <v>147</v>
      </c>
      <c r="B352" t="s">
        <v>2288</v>
      </c>
      <c r="C352" t="s">
        <v>936</v>
      </c>
      <c r="D352" t="s">
        <v>2288</v>
      </c>
      <c r="F352" t="s">
        <v>2288</v>
      </c>
      <c r="G352" t="s">
        <v>1330</v>
      </c>
      <c r="H352" t="s">
        <v>3900</v>
      </c>
      <c r="I352" t="s">
        <v>3901</v>
      </c>
      <c r="J352" t="s">
        <v>629</v>
      </c>
      <c r="K352" t="s">
        <v>1618</v>
      </c>
      <c r="L352" t="s">
        <v>2262</v>
      </c>
      <c r="M352" t="s">
        <v>2288</v>
      </c>
      <c r="N352" t="s">
        <v>1330</v>
      </c>
      <c r="O352" t="s">
        <v>3900</v>
      </c>
      <c r="P352" t="s">
        <v>3901</v>
      </c>
      <c r="Q352" t="s">
        <v>629</v>
      </c>
      <c r="R352" t="s">
        <v>1618</v>
      </c>
      <c r="S352" t="s">
        <v>2262</v>
      </c>
      <c r="T352" t="s">
        <v>1473</v>
      </c>
    </row>
    <row r="353" spans="1:20">
      <c r="A353" t="s">
        <v>357</v>
      </c>
      <c r="B353" t="s">
        <v>2622</v>
      </c>
      <c r="C353" t="s">
        <v>937</v>
      </c>
      <c r="D353" t="s">
        <v>2369</v>
      </c>
      <c r="E353" t="s">
        <v>2622</v>
      </c>
      <c r="F353" t="s">
        <v>2349</v>
      </c>
      <c r="G353" t="s">
        <v>1536</v>
      </c>
      <c r="H353" t="s">
        <v>3337</v>
      </c>
      <c r="I353" t="s">
        <v>3338</v>
      </c>
      <c r="J353" t="s">
        <v>1536</v>
      </c>
      <c r="K353" t="s">
        <v>932</v>
      </c>
      <c r="L353" t="s">
        <v>2379</v>
      </c>
      <c r="M353" t="s">
        <v>2349</v>
      </c>
      <c r="N353" t="s">
        <v>1536</v>
      </c>
      <c r="O353" t="s">
        <v>3337</v>
      </c>
      <c r="P353" t="s">
        <v>3338</v>
      </c>
      <c r="Q353" t="s">
        <v>1536</v>
      </c>
      <c r="R353" t="s">
        <v>932</v>
      </c>
      <c r="S353" t="s">
        <v>2379</v>
      </c>
      <c r="T353" t="s">
        <v>1536</v>
      </c>
    </row>
    <row r="354" spans="1:20">
      <c r="A354" t="s">
        <v>358</v>
      </c>
      <c r="B354" t="s">
        <v>3176</v>
      </c>
      <c r="C354" t="s">
        <v>936</v>
      </c>
      <c r="D354" t="s">
        <v>1741</v>
      </c>
      <c r="E354" t="s">
        <v>3176</v>
      </c>
      <c r="F354" t="s">
        <v>704</v>
      </c>
      <c r="G354" t="s">
        <v>599</v>
      </c>
      <c r="H354" t="s">
        <v>4030</v>
      </c>
      <c r="I354" t="s">
        <v>4031</v>
      </c>
      <c r="J354" t="s">
        <v>1129</v>
      </c>
      <c r="K354" t="s">
        <v>895</v>
      </c>
      <c r="L354" t="s">
        <v>1908</v>
      </c>
      <c r="M354" t="s">
        <v>704</v>
      </c>
      <c r="N354" t="s">
        <v>599</v>
      </c>
      <c r="O354" t="s">
        <v>4030</v>
      </c>
      <c r="P354" t="s">
        <v>4031</v>
      </c>
      <c r="Q354" t="s">
        <v>1129</v>
      </c>
      <c r="R354" t="s">
        <v>895</v>
      </c>
      <c r="S354" t="s">
        <v>1908</v>
      </c>
      <c r="T354" t="s">
        <v>1129</v>
      </c>
    </row>
    <row r="355" spans="1:20">
      <c r="A355" t="s">
        <v>359</v>
      </c>
      <c r="B355" t="s">
        <v>901</v>
      </c>
      <c r="C355" t="s">
        <v>937</v>
      </c>
      <c r="D355" t="s">
        <v>901</v>
      </c>
      <c r="E355" t="s">
        <v>1033</v>
      </c>
      <c r="F355" t="s">
        <v>2062</v>
      </c>
      <c r="G355" t="s">
        <v>2063</v>
      </c>
      <c r="H355" t="s">
        <v>3902</v>
      </c>
      <c r="I355" t="s">
        <v>3903</v>
      </c>
      <c r="J355" t="s">
        <v>1537</v>
      </c>
      <c r="K355" t="s">
        <v>749</v>
      </c>
      <c r="L355" t="s">
        <v>780</v>
      </c>
      <c r="M355" t="s">
        <v>2062</v>
      </c>
      <c r="N355" t="s">
        <v>2063</v>
      </c>
      <c r="O355" t="s">
        <v>3902</v>
      </c>
      <c r="P355" t="s">
        <v>3903</v>
      </c>
      <c r="Q355" t="s">
        <v>1537</v>
      </c>
      <c r="R355" t="s">
        <v>749</v>
      </c>
      <c r="S355" t="s">
        <v>780</v>
      </c>
      <c r="T355" t="s">
        <v>1537</v>
      </c>
    </row>
    <row r="356" spans="1:20">
      <c r="A356" t="s">
        <v>360</v>
      </c>
      <c r="B356" t="s">
        <v>3108</v>
      </c>
      <c r="C356" t="s">
        <v>937</v>
      </c>
      <c r="D356" t="s">
        <v>3111</v>
      </c>
      <c r="E356" t="s">
        <v>3108</v>
      </c>
      <c r="F356" t="s">
        <v>2064</v>
      </c>
      <c r="G356" t="s">
        <v>3111</v>
      </c>
      <c r="H356" t="s">
        <v>3729</v>
      </c>
      <c r="I356">
        <v>481.154</v>
      </c>
      <c r="J356" t="s">
        <v>1539</v>
      </c>
      <c r="K356" t="s">
        <v>798</v>
      </c>
      <c r="L356" t="s">
        <v>861</v>
      </c>
      <c r="M356" t="s">
        <v>2064</v>
      </c>
      <c r="N356" t="s">
        <v>3111</v>
      </c>
      <c r="O356" t="s">
        <v>3729</v>
      </c>
      <c r="P356">
        <v>481.154</v>
      </c>
      <c r="Q356" t="s">
        <v>1539</v>
      </c>
      <c r="R356" t="s">
        <v>798</v>
      </c>
      <c r="S356" t="s">
        <v>861</v>
      </c>
      <c r="T356" t="s">
        <v>1540</v>
      </c>
    </row>
    <row r="357" spans="1:20">
      <c r="A357" t="s">
        <v>148</v>
      </c>
      <c r="B357" t="s">
        <v>2935</v>
      </c>
      <c r="C357" t="s">
        <v>937</v>
      </c>
      <c r="D357" t="s">
        <v>2935</v>
      </c>
      <c r="E357" t="s">
        <v>2497</v>
      </c>
      <c r="F357" t="s">
        <v>1741</v>
      </c>
      <c r="G357" t="s">
        <v>2289</v>
      </c>
      <c r="H357" t="s">
        <v>3441</v>
      </c>
      <c r="I357" t="s">
        <v>3442</v>
      </c>
      <c r="J357" t="s">
        <v>904</v>
      </c>
      <c r="K357" t="s">
        <v>800</v>
      </c>
      <c r="L357" t="s">
        <v>2867</v>
      </c>
      <c r="M357" t="s">
        <v>1741</v>
      </c>
      <c r="N357" t="s">
        <v>2289</v>
      </c>
      <c r="O357" t="s">
        <v>3441</v>
      </c>
      <c r="P357" t="s">
        <v>3442</v>
      </c>
      <c r="Q357" t="s">
        <v>904</v>
      </c>
      <c r="R357" t="s">
        <v>800</v>
      </c>
      <c r="S357" t="s">
        <v>2867</v>
      </c>
      <c r="T357" t="s">
        <v>1384</v>
      </c>
    </row>
    <row r="358" spans="1:20">
      <c r="A358" t="s">
        <v>149</v>
      </c>
      <c r="B358" t="s">
        <v>3181</v>
      </c>
      <c r="C358" t="s">
        <v>936</v>
      </c>
      <c r="D358" t="s">
        <v>3181</v>
      </c>
      <c r="E358" t="s">
        <v>3160</v>
      </c>
      <c r="F358" t="s">
        <v>2065</v>
      </c>
      <c r="G358" t="s">
        <v>3187</v>
      </c>
      <c r="H358" t="s">
        <v>3339</v>
      </c>
      <c r="I358">
        <v>26.684000000000001</v>
      </c>
      <c r="J358" t="s">
        <v>1541</v>
      </c>
      <c r="K358" t="s">
        <v>2472</v>
      </c>
      <c r="L358" t="s">
        <v>882</v>
      </c>
      <c r="M358" t="s">
        <v>2065</v>
      </c>
      <c r="N358" t="s">
        <v>3187</v>
      </c>
      <c r="O358" t="s">
        <v>3339</v>
      </c>
      <c r="P358">
        <v>26.684000000000001</v>
      </c>
      <c r="Q358" t="s">
        <v>1541</v>
      </c>
      <c r="R358" t="s">
        <v>2472</v>
      </c>
      <c r="S358" t="s">
        <v>882</v>
      </c>
      <c r="T358" t="s">
        <v>1541</v>
      </c>
    </row>
    <row r="359" spans="1:20">
      <c r="A359" t="s">
        <v>361</v>
      </c>
      <c r="B359" t="s">
        <v>3025</v>
      </c>
      <c r="C359" t="s">
        <v>936</v>
      </c>
      <c r="D359" t="s">
        <v>3093</v>
      </c>
      <c r="E359" t="s">
        <v>3025</v>
      </c>
      <c r="F359" t="s">
        <v>1244</v>
      </c>
      <c r="G359" t="s">
        <v>2066</v>
      </c>
      <c r="H359" t="s">
        <v>3270</v>
      </c>
      <c r="I359">
        <v>823.26499999999999</v>
      </c>
      <c r="J359" t="s">
        <v>1034</v>
      </c>
      <c r="K359" t="s">
        <v>1164</v>
      </c>
      <c r="L359" t="s">
        <v>2195</v>
      </c>
      <c r="M359" t="s">
        <v>1244</v>
      </c>
      <c r="N359" t="s">
        <v>2066</v>
      </c>
      <c r="O359" t="s">
        <v>3270</v>
      </c>
      <c r="P359">
        <v>823.26499999999999</v>
      </c>
      <c r="Q359" t="s">
        <v>1034</v>
      </c>
      <c r="R359" t="s">
        <v>1164</v>
      </c>
      <c r="S359" t="s">
        <v>2195</v>
      </c>
      <c r="T359" t="s">
        <v>901</v>
      </c>
    </row>
    <row r="360" spans="1:20">
      <c r="A360" t="s">
        <v>362</v>
      </c>
      <c r="B360" t="s">
        <v>3171</v>
      </c>
      <c r="C360" t="s">
        <v>937</v>
      </c>
      <c r="D360" t="s">
        <v>3171</v>
      </c>
      <c r="E360" t="s">
        <v>3072</v>
      </c>
      <c r="F360" t="s">
        <v>1852</v>
      </c>
      <c r="G360" t="s">
        <v>1688</v>
      </c>
      <c r="H360" t="s">
        <v>3340</v>
      </c>
      <c r="I360">
        <v>456.517</v>
      </c>
      <c r="J360" t="s">
        <v>477</v>
      </c>
      <c r="K360" t="s">
        <v>829</v>
      </c>
      <c r="L360" t="s">
        <v>2225</v>
      </c>
      <c r="M360" t="s">
        <v>1852</v>
      </c>
      <c r="N360" t="s">
        <v>1688</v>
      </c>
      <c r="O360" t="s">
        <v>3340</v>
      </c>
      <c r="P360">
        <v>456.517</v>
      </c>
      <c r="Q360" t="s">
        <v>477</v>
      </c>
      <c r="R360" t="s">
        <v>829</v>
      </c>
      <c r="S360" t="s">
        <v>2225</v>
      </c>
      <c r="T360" t="s">
        <v>1688</v>
      </c>
    </row>
    <row r="361" spans="1:20">
      <c r="A361" t="s">
        <v>438</v>
      </c>
      <c r="B361" t="s">
        <v>539</v>
      </c>
      <c r="C361" t="s">
        <v>937</v>
      </c>
      <c r="D361" t="s">
        <v>2290</v>
      </c>
      <c r="E361" t="s">
        <v>539</v>
      </c>
      <c r="F361" t="s">
        <v>870</v>
      </c>
      <c r="G361" t="s">
        <v>698</v>
      </c>
      <c r="H361" t="s">
        <v>3271</v>
      </c>
      <c r="I361">
        <v>333.28699999999998</v>
      </c>
      <c r="J361" t="s">
        <v>870</v>
      </c>
      <c r="K361" t="s">
        <v>760</v>
      </c>
      <c r="L361" t="s">
        <v>2478</v>
      </c>
      <c r="M361" t="s">
        <v>870</v>
      </c>
      <c r="N361" t="s">
        <v>698</v>
      </c>
      <c r="O361" t="s">
        <v>3271</v>
      </c>
      <c r="P361">
        <v>333.28699999999998</v>
      </c>
      <c r="Q361" t="s">
        <v>870</v>
      </c>
      <c r="R361" t="s">
        <v>760</v>
      </c>
      <c r="S361" t="s">
        <v>2478</v>
      </c>
      <c r="T361" t="s">
        <v>870</v>
      </c>
    </row>
    <row r="362" spans="1:20">
      <c r="A362" t="s">
        <v>150</v>
      </c>
      <c r="B362" t="s">
        <v>2645</v>
      </c>
      <c r="C362" t="s">
        <v>936</v>
      </c>
      <c r="D362" t="s">
        <v>2645</v>
      </c>
      <c r="E362" t="s">
        <v>1521</v>
      </c>
      <c r="F362" t="s">
        <v>539</v>
      </c>
      <c r="G362" t="s">
        <v>1181</v>
      </c>
      <c r="H362" t="s">
        <v>3272</v>
      </c>
      <c r="I362" t="s">
        <v>3273</v>
      </c>
      <c r="J362" t="s">
        <v>583</v>
      </c>
      <c r="K362" t="s">
        <v>745</v>
      </c>
      <c r="L362" t="s">
        <v>1049</v>
      </c>
      <c r="M362" t="s">
        <v>539</v>
      </c>
      <c r="N362" t="s">
        <v>1181</v>
      </c>
      <c r="O362" t="s">
        <v>3272</v>
      </c>
      <c r="P362" t="s">
        <v>3273</v>
      </c>
      <c r="Q362" t="s">
        <v>583</v>
      </c>
      <c r="R362" t="s">
        <v>745</v>
      </c>
      <c r="S362" t="s">
        <v>1049</v>
      </c>
      <c r="T362" t="s">
        <v>909</v>
      </c>
    </row>
    <row r="363" spans="1:20">
      <c r="A363" t="s">
        <v>363</v>
      </c>
      <c r="B363" t="s">
        <v>3056</v>
      </c>
      <c r="C363" t="s">
        <v>937</v>
      </c>
      <c r="D363" t="s">
        <v>3084</v>
      </c>
      <c r="E363" t="s">
        <v>3056</v>
      </c>
      <c r="F363" t="s">
        <v>1755</v>
      </c>
      <c r="G363" t="s">
        <v>3056</v>
      </c>
      <c r="H363" t="s">
        <v>3809</v>
      </c>
      <c r="I363" t="s">
        <v>3810</v>
      </c>
      <c r="J363" t="s">
        <v>1382</v>
      </c>
      <c r="K363" t="s">
        <v>2518</v>
      </c>
      <c r="L363" t="s">
        <v>2466</v>
      </c>
      <c r="M363" t="s">
        <v>1755</v>
      </c>
      <c r="N363" t="s">
        <v>3056</v>
      </c>
      <c r="O363" t="s">
        <v>3809</v>
      </c>
      <c r="P363" t="s">
        <v>3810</v>
      </c>
      <c r="Q363" t="s">
        <v>1382</v>
      </c>
      <c r="R363" t="s">
        <v>2518</v>
      </c>
      <c r="S363" t="s">
        <v>2466</v>
      </c>
      <c r="T363" t="s">
        <v>667</v>
      </c>
    </row>
    <row r="364" spans="1:20">
      <c r="A364" t="s">
        <v>151</v>
      </c>
      <c r="B364" t="s">
        <v>3131</v>
      </c>
      <c r="C364" t="s">
        <v>937</v>
      </c>
      <c r="D364" t="s">
        <v>3131</v>
      </c>
      <c r="E364" t="s">
        <v>3123</v>
      </c>
      <c r="F364" t="s">
        <v>2157</v>
      </c>
      <c r="G364" t="s">
        <v>1400</v>
      </c>
      <c r="H364" t="s">
        <v>3341</v>
      </c>
      <c r="I364">
        <v>656.505</v>
      </c>
      <c r="J364" t="s">
        <v>1271</v>
      </c>
      <c r="K364" t="s">
        <v>875</v>
      </c>
      <c r="L364" t="s">
        <v>1011</v>
      </c>
      <c r="M364" t="s">
        <v>2157</v>
      </c>
      <c r="N364" t="s">
        <v>1400</v>
      </c>
      <c r="O364" t="s">
        <v>3341</v>
      </c>
      <c r="P364">
        <v>656.505</v>
      </c>
      <c r="Q364" t="s">
        <v>1271</v>
      </c>
      <c r="R364" t="s">
        <v>875</v>
      </c>
      <c r="S364" t="s">
        <v>1011</v>
      </c>
      <c r="T364" t="s">
        <v>1791</v>
      </c>
    </row>
    <row r="365" spans="1:20">
      <c r="A365" t="s">
        <v>152</v>
      </c>
      <c r="B365" t="s">
        <v>2743</v>
      </c>
      <c r="C365" t="s">
        <v>936</v>
      </c>
      <c r="D365" t="s">
        <v>2537</v>
      </c>
      <c r="E365" t="s">
        <v>2743</v>
      </c>
      <c r="F365" t="s">
        <v>2743</v>
      </c>
      <c r="G365" t="s">
        <v>1542</v>
      </c>
      <c r="H365" t="s">
        <v>3416</v>
      </c>
      <c r="I365">
        <v>904.27700000000004</v>
      </c>
      <c r="J365" t="s">
        <v>1542</v>
      </c>
      <c r="K365" t="s">
        <v>846</v>
      </c>
      <c r="L365" t="s">
        <v>2117</v>
      </c>
      <c r="M365" t="s">
        <v>2743</v>
      </c>
      <c r="N365" t="s">
        <v>1542</v>
      </c>
      <c r="O365" t="s">
        <v>3416</v>
      </c>
      <c r="P365">
        <v>904.27700000000004</v>
      </c>
      <c r="Q365" t="s">
        <v>1542</v>
      </c>
      <c r="R365" t="s">
        <v>846</v>
      </c>
      <c r="S365" t="s">
        <v>2117</v>
      </c>
      <c r="T365" t="s">
        <v>1542</v>
      </c>
    </row>
    <row r="366" spans="1:20">
      <c r="A366" t="s">
        <v>364</v>
      </c>
      <c r="B366" t="s">
        <v>2970</v>
      </c>
      <c r="C366" t="s">
        <v>937</v>
      </c>
      <c r="D366" t="s">
        <v>2970</v>
      </c>
      <c r="E366" t="s">
        <v>1151</v>
      </c>
      <c r="F366" t="s">
        <v>1629</v>
      </c>
      <c r="G366" t="s">
        <v>2067</v>
      </c>
      <c r="H366" t="s">
        <v>3274</v>
      </c>
      <c r="I366" t="s">
        <v>3275</v>
      </c>
      <c r="J366" t="s">
        <v>1543</v>
      </c>
      <c r="K366" t="s">
        <v>818</v>
      </c>
      <c r="L366" t="s">
        <v>1153</v>
      </c>
      <c r="M366" t="s">
        <v>1629</v>
      </c>
      <c r="N366" t="s">
        <v>2067</v>
      </c>
      <c r="O366" t="s">
        <v>3274</v>
      </c>
      <c r="P366" t="s">
        <v>3275</v>
      </c>
      <c r="Q366" t="s">
        <v>1543</v>
      </c>
      <c r="R366" t="s">
        <v>818</v>
      </c>
      <c r="S366" t="s">
        <v>1153</v>
      </c>
      <c r="T366" t="s">
        <v>1543</v>
      </c>
    </row>
    <row r="367" spans="1:20">
      <c r="A367" t="s">
        <v>153</v>
      </c>
      <c r="B367" t="s">
        <v>2932</v>
      </c>
      <c r="C367" t="s">
        <v>937</v>
      </c>
      <c r="D367" t="s">
        <v>2202</v>
      </c>
      <c r="E367" t="s">
        <v>2932</v>
      </c>
      <c r="F367" t="s">
        <v>1930</v>
      </c>
      <c r="G367" t="s">
        <v>1452</v>
      </c>
      <c r="H367" t="s">
        <v>3342</v>
      </c>
      <c r="I367" t="s">
        <v>3343</v>
      </c>
      <c r="J367" t="s">
        <v>1391</v>
      </c>
      <c r="K367" t="s">
        <v>796</v>
      </c>
      <c r="L367" t="s">
        <v>2210</v>
      </c>
      <c r="M367" t="s">
        <v>1930</v>
      </c>
      <c r="N367" t="s">
        <v>1452</v>
      </c>
      <c r="O367" t="s">
        <v>3342</v>
      </c>
      <c r="P367" t="s">
        <v>3343</v>
      </c>
      <c r="Q367" t="s">
        <v>1391</v>
      </c>
      <c r="R367" t="s">
        <v>796</v>
      </c>
      <c r="S367" t="s">
        <v>2210</v>
      </c>
      <c r="T367" t="s">
        <v>1452</v>
      </c>
    </row>
    <row r="368" spans="1:20">
      <c r="A368" t="s">
        <v>154</v>
      </c>
      <c r="B368" t="s">
        <v>568</v>
      </c>
      <c r="C368" t="s">
        <v>936</v>
      </c>
      <c r="D368" t="s">
        <v>568</v>
      </c>
      <c r="F368" t="s">
        <v>568</v>
      </c>
      <c r="G368" t="s">
        <v>2068</v>
      </c>
      <c r="H368" t="s">
        <v>3497</v>
      </c>
      <c r="I368" t="s">
        <v>3498</v>
      </c>
      <c r="J368" t="s">
        <v>1265</v>
      </c>
      <c r="K368" t="s">
        <v>983</v>
      </c>
      <c r="L368" t="s">
        <v>1952</v>
      </c>
      <c r="M368" t="s">
        <v>568</v>
      </c>
      <c r="N368" t="s">
        <v>2068</v>
      </c>
      <c r="O368" t="s">
        <v>3497</v>
      </c>
      <c r="P368" t="s">
        <v>3498</v>
      </c>
      <c r="Q368" t="s">
        <v>1265</v>
      </c>
      <c r="R368" t="s">
        <v>983</v>
      </c>
      <c r="S368" t="s">
        <v>1952</v>
      </c>
      <c r="T368" t="s">
        <v>2068</v>
      </c>
    </row>
    <row r="369" spans="1:20">
      <c r="A369" t="s">
        <v>155</v>
      </c>
      <c r="B369" t="s">
        <v>2691</v>
      </c>
      <c r="C369" t="s">
        <v>936</v>
      </c>
      <c r="D369" t="s">
        <v>2691</v>
      </c>
      <c r="E369" t="s">
        <v>2810</v>
      </c>
      <c r="F369" t="s">
        <v>2069</v>
      </c>
      <c r="G369" t="s">
        <v>1506</v>
      </c>
      <c r="H369" t="s">
        <v>3578</v>
      </c>
      <c r="I369">
        <v>75.811000000000007</v>
      </c>
      <c r="J369" t="s">
        <v>1506</v>
      </c>
      <c r="K369" t="s">
        <v>1162</v>
      </c>
      <c r="L369" t="s">
        <v>817</v>
      </c>
      <c r="M369" t="s">
        <v>2069</v>
      </c>
      <c r="N369" t="s">
        <v>1506</v>
      </c>
      <c r="O369" t="s">
        <v>3578</v>
      </c>
      <c r="P369">
        <v>75.811000000000007</v>
      </c>
      <c r="Q369" t="s">
        <v>1506</v>
      </c>
      <c r="R369" t="s">
        <v>1162</v>
      </c>
      <c r="S369" t="s">
        <v>817</v>
      </c>
      <c r="T369" t="s">
        <v>1506</v>
      </c>
    </row>
    <row r="370" spans="1:20">
      <c r="A370" t="s">
        <v>365</v>
      </c>
      <c r="B370" t="s">
        <v>2873</v>
      </c>
      <c r="C370" t="s">
        <v>937</v>
      </c>
      <c r="D370" t="s">
        <v>2873</v>
      </c>
      <c r="E370" t="s">
        <v>2871</v>
      </c>
      <c r="F370" t="s">
        <v>2193</v>
      </c>
      <c r="G370" t="s">
        <v>1236</v>
      </c>
      <c r="H370" t="s">
        <v>3904</v>
      </c>
      <c r="I370" t="s">
        <v>3905</v>
      </c>
      <c r="J370" t="s">
        <v>778</v>
      </c>
      <c r="K370" t="s">
        <v>2488</v>
      </c>
      <c r="L370" t="s">
        <v>2874</v>
      </c>
      <c r="M370" t="s">
        <v>2193</v>
      </c>
      <c r="N370" t="s">
        <v>1236</v>
      </c>
      <c r="O370" t="s">
        <v>3904</v>
      </c>
      <c r="P370" t="s">
        <v>3905</v>
      </c>
      <c r="Q370" t="s">
        <v>778</v>
      </c>
      <c r="R370" t="s">
        <v>2488</v>
      </c>
      <c r="S370" t="s">
        <v>2874</v>
      </c>
      <c r="T370" t="s">
        <v>778</v>
      </c>
    </row>
    <row r="371" spans="1:20">
      <c r="A371" t="s">
        <v>366</v>
      </c>
      <c r="B371" t="s">
        <v>2896</v>
      </c>
      <c r="C371" t="s">
        <v>937</v>
      </c>
      <c r="D371" t="s">
        <v>2896</v>
      </c>
      <c r="E371" t="s">
        <v>2934</v>
      </c>
      <c r="F371" t="s">
        <v>1705</v>
      </c>
      <c r="G371" t="s">
        <v>912</v>
      </c>
      <c r="H371" t="s">
        <v>3276</v>
      </c>
      <c r="I371">
        <v>355.53899999999999</v>
      </c>
      <c r="J371" t="s">
        <v>541</v>
      </c>
      <c r="K371" t="s">
        <v>1168</v>
      </c>
      <c r="L371" t="s">
        <v>897</v>
      </c>
      <c r="M371" t="s">
        <v>1705</v>
      </c>
      <c r="N371" t="s">
        <v>912</v>
      </c>
      <c r="O371" t="s">
        <v>3276</v>
      </c>
      <c r="P371">
        <v>355.53899999999999</v>
      </c>
      <c r="Q371" t="s">
        <v>541</v>
      </c>
      <c r="R371" t="s">
        <v>1168</v>
      </c>
      <c r="S371" t="s">
        <v>897</v>
      </c>
      <c r="T371" t="s">
        <v>912</v>
      </c>
    </row>
    <row r="372" spans="1:20">
      <c r="A372" t="s">
        <v>156</v>
      </c>
      <c r="B372" t="s">
        <v>568</v>
      </c>
      <c r="C372" t="s">
        <v>937</v>
      </c>
      <c r="D372" t="s">
        <v>568</v>
      </c>
      <c r="E372" t="s">
        <v>2078</v>
      </c>
      <c r="F372" t="s">
        <v>1432</v>
      </c>
      <c r="G372" t="s">
        <v>691</v>
      </c>
      <c r="H372" t="s">
        <v>3628</v>
      </c>
      <c r="I372" t="s">
        <v>3629</v>
      </c>
      <c r="J372" t="s">
        <v>1040</v>
      </c>
      <c r="K372" t="s">
        <v>848</v>
      </c>
      <c r="L372" t="s">
        <v>2679</v>
      </c>
      <c r="M372" t="s">
        <v>1432</v>
      </c>
      <c r="N372" t="s">
        <v>691</v>
      </c>
      <c r="O372" t="s">
        <v>3628</v>
      </c>
      <c r="P372" t="s">
        <v>3629</v>
      </c>
      <c r="Q372" t="s">
        <v>1040</v>
      </c>
      <c r="R372" t="s">
        <v>848</v>
      </c>
      <c r="S372" t="s">
        <v>2679</v>
      </c>
      <c r="T372" t="s">
        <v>1040</v>
      </c>
    </row>
    <row r="373" spans="1:20">
      <c r="A373" t="s">
        <v>367</v>
      </c>
      <c r="B373" t="s">
        <v>3120</v>
      </c>
      <c r="C373" t="s">
        <v>937</v>
      </c>
      <c r="D373" t="s">
        <v>3120</v>
      </c>
      <c r="E373" t="s">
        <v>3118</v>
      </c>
      <c r="F373" t="s">
        <v>923</v>
      </c>
      <c r="G373" t="s">
        <v>3137</v>
      </c>
      <c r="H373" t="s">
        <v>3596</v>
      </c>
      <c r="I373" t="s">
        <v>3597</v>
      </c>
      <c r="J373" t="s">
        <v>1278</v>
      </c>
      <c r="K373" t="s">
        <v>2906</v>
      </c>
      <c r="L373" t="s">
        <v>2798</v>
      </c>
      <c r="M373" t="s">
        <v>923</v>
      </c>
      <c r="N373" t="s">
        <v>3137</v>
      </c>
      <c r="O373" t="s">
        <v>3596</v>
      </c>
      <c r="P373" t="s">
        <v>3597</v>
      </c>
      <c r="Q373" t="s">
        <v>1278</v>
      </c>
      <c r="R373" t="s">
        <v>2906</v>
      </c>
      <c r="S373" t="s">
        <v>2798</v>
      </c>
      <c r="T373" t="s">
        <v>1703</v>
      </c>
    </row>
    <row r="374" spans="1:20">
      <c r="A374" t="s">
        <v>368</v>
      </c>
      <c r="B374" t="s">
        <v>1036</v>
      </c>
      <c r="C374" t="s">
        <v>937</v>
      </c>
      <c r="D374" t="s">
        <v>1036</v>
      </c>
      <c r="E374" t="s">
        <v>2424</v>
      </c>
      <c r="F374" t="s">
        <v>766</v>
      </c>
      <c r="G374" t="s">
        <v>1037</v>
      </c>
      <c r="H374" t="s">
        <v>3690</v>
      </c>
      <c r="I374">
        <v>815.25199999999995</v>
      </c>
      <c r="J374" t="s">
        <v>1037</v>
      </c>
      <c r="K374" t="s">
        <v>812</v>
      </c>
      <c r="L374" t="s">
        <v>614</v>
      </c>
      <c r="M374" t="s">
        <v>766</v>
      </c>
      <c r="N374" t="s">
        <v>1037</v>
      </c>
      <c r="O374" t="s">
        <v>3690</v>
      </c>
      <c r="P374">
        <v>815.25199999999995</v>
      </c>
      <c r="Q374" t="s">
        <v>1037</v>
      </c>
      <c r="R374" t="s">
        <v>812</v>
      </c>
      <c r="S374" t="s">
        <v>614</v>
      </c>
      <c r="T374" t="s">
        <v>1037</v>
      </c>
    </row>
    <row r="375" spans="1:20">
      <c r="A375" t="s">
        <v>369</v>
      </c>
      <c r="B375" t="s">
        <v>2817</v>
      </c>
      <c r="C375" t="s">
        <v>937</v>
      </c>
      <c r="D375" t="s">
        <v>3102</v>
      </c>
      <c r="E375" t="s">
        <v>2817</v>
      </c>
      <c r="F375" t="s">
        <v>2292</v>
      </c>
      <c r="G375" t="s">
        <v>1931</v>
      </c>
      <c r="H375" t="s">
        <v>3013</v>
      </c>
      <c r="I375">
        <v>265.05700000000002</v>
      </c>
      <c r="J375" t="s">
        <v>1286</v>
      </c>
      <c r="K375" t="s">
        <v>848</v>
      </c>
      <c r="L375" t="s">
        <v>878</v>
      </c>
      <c r="M375" t="s">
        <v>2292</v>
      </c>
      <c r="N375" t="s">
        <v>1931</v>
      </c>
      <c r="O375" t="s">
        <v>3013</v>
      </c>
      <c r="P375">
        <v>265.05700000000002</v>
      </c>
      <c r="Q375" t="s">
        <v>1286</v>
      </c>
      <c r="R375" t="s">
        <v>848</v>
      </c>
      <c r="S375" t="s">
        <v>878</v>
      </c>
      <c r="T375" t="s">
        <v>1286</v>
      </c>
    </row>
    <row r="376" spans="1:20">
      <c r="A376" t="s">
        <v>566</v>
      </c>
      <c r="B376" t="s">
        <v>598</v>
      </c>
      <c r="C376" t="s">
        <v>938</v>
      </c>
      <c r="D376" t="s">
        <v>598</v>
      </c>
      <c r="F376" t="s">
        <v>598</v>
      </c>
      <c r="G376" t="s">
        <v>598</v>
      </c>
      <c r="H376" t="s">
        <v>4032</v>
      </c>
      <c r="I376" t="s">
        <v>4033</v>
      </c>
      <c r="J376" t="s">
        <v>1057</v>
      </c>
      <c r="K376" t="s">
        <v>909</v>
      </c>
      <c r="L376" t="s">
        <v>680</v>
      </c>
      <c r="M376" t="s">
        <v>598</v>
      </c>
      <c r="N376" t="s">
        <v>598</v>
      </c>
      <c r="O376" t="s">
        <v>4032</v>
      </c>
      <c r="P376" t="s">
        <v>4033</v>
      </c>
      <c r="Q376" t="s">
        <v>1057</v>
      </c>
      <c r="R376" t="s">
        <v>909</v>
      </c>
      <c r="S376" t="s">
        <v>680</v>
      </c>
      <c r="T376" t="s">
        <v>598</v>
      </c>
    </row>
    <row r="377" spans="1:20">
      <c r="A377" t="s">
        <v>370</v>
      </c>
      <c r="B377" t="s">
        <v>1440</v>
      </c>
      <c r="C377" t="s">
        <v>937</v>
      </c>
      <c r="D377" t="s">
        <v>3287</v>
      </c>
      <c r="E377" t="s">
        <v>1440</v>
      </c>
      <c r="F377" t="s">
        <v>2070</v>
      </c>
      <c r="G377" t="s">
        <v>977</v>
      </c>
      <c r="H377" t="s">
        <v>4034</v>
      </c>
      <c r="I377" t="s">
        <v>4035</v>
      </c>
      <c r="J377" t="s">
        <v>924</v>
      </c>
      <c r="K377" t="s">
        <v>1690</v>
      </c>
      <c r="L377" t="s">
        <v>2581</v>
      </c>
      <c r="M377" t="s">
        <v>2070</v>
      </c>
      <c r="N377" t="s">
        <v>977</v>
      </c>
      <c r="O377" t="s">
        <v>4034</v>
      </c>
      <c r="P377" t="s">
        <v>4035</v>
      </c>
      <c r="Q377" t="s">
        <v>924</v>
      </c>
      <c r="R377" t="s">
        <v>1690</v>
      </c>
      <c r="S377" t="s">
        <v>2581</v>
      </c>
      <c r="T377" t="s">
        <v>924</v>
      </c>
    </row>
    <row r="378" spans="1:20">
      <c r="A378" t="s">
        <v>157</v>
      </c>
      <c r="B378" t="s">
        <v>3118</v>
      </c>
      <c r="C378" t="s">
        <v>937</v>
      </c>
      <c r="D378" t="s">
        <v>3120</v>
      </c>
      <c r="E378" t="s">
        <v>3118</v>
      </c>
      <c r="F378" t="s">
        <v>2178</v>
      </c>
      <c r="G378" t="s">
        <v>647</v>
      </c>
      <c r="H378" t="s">
        <v>3730</v>
      </c>
      <c r="I378">
        <v>789.976</v>
      </c>
      <c r="J378" t="s">
        <v>647</v>
      </c>
      <c r="K378" t="s">
        <v>1190</v>
      </c>
      <c r="L378" t="s">
        <v>2857</v>
      </c>
      <c r="M378" t="s">
        <v>2178</v>
      </c>
      <c r="N378" t="s">
        <v>647</v>
      </c>
      <c r="O378" t="s">
        <v>3730</v>
      </c>
      <c r="P378">
        <v>789.976</v>
      </c>
      <c r="Q378" t="s">
        <v>647</v>
      </c>
      <c r="R378" t="s">
        <v>1190</v>
      </c>
      <c r="S378" t="s">
        <v>2857</v>
      </c>
      <c r="T378" t="s">
        <v>647</v>
      </c>
    </row>
    <row r="379" spans="1:20">
      <c r="A379" t="s">
        <v>158</v>
      </c>
      <c r="B379" t="s">
        <v>1235</v>
      </c>
      <c r="C379" t="s">
        <v>937</v>
      </c>
      <c r="D379" t="s">
        <v>1156</v>
      </c>
      <c r="E379" t="s">
        <v>1186</v>
      </c>
      <c r="F379" t="s">
        <v>2071</v>
      </c>
      <c r="G379" t="s">
        <v>1883</v>
      </c>
      <c r="H379" t="s">
        <v>3408</v>
      </c>
      <c r="I379">
        <v>87.311000000000007</v>
      </c>
      <c r="J379" t="s">
        <v>556</v>
      </c>
      <c r="K379" t="s">
        <v>2341</v>
      </c>
      <c r="L379" t="s">
        <v>1246</v>
      </c>
      <c r="M379" t="s">
        <v>2071</v>
      </c>
      <c r="N379" t="s">
        <v>1883</v>
      </c>
      <c r="O379" t="s">
        <v>3408</v>
      </c>
      <c r="P379">
        <v>87.311000000000007</v>
      </c>
      <c r="Q379" t="s">
        <v>556</v>
      </c>
      <c r="R379" t="s">
        <v>2341</v>
      </c>
      <c r="S379" t="s">
        <v>1246</v>
      </c>
      <c r="T379" t="s">
        <v>1654</v>
      </c>
    </row>
    <row r="380" spans="1:20">
      <c r="A380" t="s">
        <v>159</v>
      </c>
      <c r="B380" t="s">
        <v>2520</v>
      </c>
      <c r="C380" t="s">
        <v>937</v>
      </c>
      <c r="D380" t="s">
        <v>1835</v>
      </c>
      <c r="E380" t="s">
        <v>2520</v>
      </c>
      <c r="F380" t="s">
        <v>2024</v>
      </c>
      <c r="G380" t="s">
        <v>2072</v>
      </c>
      <c r="H380" t="s">
        <v>3598</v>
      </c>
      <c r="I380" t="s">
        <v>3599</v>
      </c>
      <c r="J380" t="s">
        <v>1070</v>
      </c>
      <c r="K380" t="s">
        <v>815</v>
      </c>
      <c r="L380" t="s">
        <v>2592</v>
      </c>
      <c r="M380" t="s">
        <v>2024</v>
      </c>
      <c r="N380" t="s">
        <v>2072</v>
      </c>
      <c r="O380" t="s">
        <v>3598</v>
      </c>
      <c r="P380" t="s">
        <v>3599</v>
      </c>
      <c r="Q380" t="s">
        <v>1070</v>
      </c>
      <c r="R380" t="s">
        <v>815</v>
      </c>
      <c r="S380" t="s">
        <v>2592</v>
      </c>
      <c r="T380" t="s">
        <v>1070</v>
      </c>
    </row>
    <row r="381" spans="1:20">
      <c r="A381" t="s">
        <v>160</v>
      </c>
      <c r="B381" t="s">
        <v>2607</v>
      </c>
      <c r="C381" t="s">
        <v>936</v>
      </c>
      <c r="D381" t="s">
        <v>2695</v>
      </c>
      <c r="E381" t="s">
        <v>2607</v>
      </c>
      <c r="F381" t="s">
        <v>1857</v>
      </c>
      <c r="G381" t="s">
        <v>2421</v>
      </c>
      <c r="H381" t="s">
        <v>4036</v>
      </c>
      <c r="I381">
        <v>318.35399999999998</v>
      </c>
      <c r="J381" t="s">
        <v>1422</v>
      </c>
      <c r="K381" t="s">
        <v>2828</v>
      </c>
      <c r="L381" t="s">
        <v>2563</v>
      </c>
      <c r="M381" t="s">
        <v>1857</v>
      </c>
      <c r="N381" t="s">
        <v>2421</v>
      </c>
      <c r="O381" t="s">
        <v>4036</v>
      </c>
      <c r="P381">
        <v>318.35399999999998</v>
      </c>
      <c r="Q381" t="s">
        <v>1422</v>
      </c>
      <c r="R381" t="s">
        <v>2828</v>
      </c>
      <c r="S381" t="s">
        <v>2563</v>
      </c>
      <c r="T381" t="s">
        <v>1425</v>
      </c>
    </row>
    <row r="382" spans="1:20">
      <c r="A382" t="s">
        <v>371</v>
      </c>
      <c r="B382" t="s">
        <v>2523</v>
      </c>
      <c r="C382" t="s">
        <v>937</v>
      </c>
      <c r="D382" t="s">
        <v>2522</v>
      </c>
      <c r="E382" t="s">
        <v>2523</v>
      </c>
      <c r="F382" t="s">
        <v>1091</v>
      </c>
      <c r="G382" t="s">
        <v>2523</v>
      </c>
      <c r="H382" t="s">
        <v>3906</v>
      </c>
      <c r="I382" t="s">
        <v>3907</v>
      </c>
      <c r="J382" t="s">
        <v>612</v>
      </c>
      <c r="K382" t="s">
        <v>791</v>
      </c>
      <c r="L382" t="s">
        <v>2517</v>
      </c>
      <c r="M382" t="s">
        <v>1091</v>
      </c>
      <c r="N382" t="s">
        <v>2523</v>
      </c>
      <c r="O382" t="s">
        <v>3906</v>
      </c>
      <c r="P382" t="s">
        <v>3907</v>
      </c>
      <c r="Q382" t="s">
        <v>612</v>
      </c>
      <c r="R382" t="s">
        <v>791</v>
      </c>
      <c r="S382" t="s">
        <v>2517</v>
      </c>
      <c r="T382" t="s">
        <v>648</v>
      </c>
    </row>
    <row r="383" spans="1:20">
      <c r="A383" t="s">
        <v>439</v>
      </c>
      <c r="B383" t="s">
        <v>2662</v>
      </c>
      <c r="C383" t="s">
        <v>936</v>
      </c>
      <c r="D383" t="s">
        <v>2662</v>
      </c>
      <c r="E383" t="s">
        <v>2658</v>
      </c>
      <c r="F383" t="s">
        <v>1740</v>
      </c>
      <c r="G383" t="s">
        <v>728</v>
      </c>
      <c r="H383" t="s">
        <v>3277</v>
      </c>
      <c r="I383">
        <v>94.367999999999995</v>
      </c>
      <c r="J383" t="s">
        <v>1370</v>
      </c>
      <c r="K383" t="s">
        <v>762</v>
      </c>
      <c r="L383" t="s">
        <v>2842</v>
      </c>
      <c r="M383" t="s">
        <v>1740</v>
      </c>
      <c r="N383" t="s">
        <v>728</v>
      </c>
      <c r="O383" t="s">
        <v>3277</v>
      </c>
      <c r="P383">
        <v>94.367999999999995</v>
      </c>
      <c r="Q383" t="s">
        <v>1370</v>
      </c>
      <c r="R383" t="s">
        <v>762</v>
      </c>
      <c r="S383" t="s">
        <v>2842</v>
      </c>
      <c r="T383" t="s">
        <v>1930</v>
      </c>
    </row>
    <row r="384" spans="1:20">
      <c r="A384" t="s">
        <v>161</v>
      </c>
      <c r="B384" t="s">
        <v>901</v>
      </c>
      <c r="C384" t="s">
        <v>936</v>
      </c>
      <c r="D384" t="s">
        <v>1045</v>
      </c>
      <c r="E384" t="s">
        <v>901</v>
      </c>
      <c r="F384" t="s">
        <v>2206</v>
      </c>
      <c r="G384" t="s">
        <v>2294</v>
      </c>
      <c r="H384" t="s">
        <v>3630</v>
      </c>
      <c r="I384" t="s">
        <v>3631</v>
      </c>
      <c r="J384" t="s">
        <v>1045</v>
      </c>
      <c r="K384" t="s">
        <v>1227</v>
      </c>
      <c r="L384" t="s">
        <v>928</v>
      </c>
      <c r="M384" t="s">
        <v>2206</v>
      </c>
      <c r="N384" t="s">
        <v>2294</v>
      </c>
      <c r="O384" t="s">
        <v>3630</v>
      </c>
      <c r="P384" t="s">
        <v>3631</v>
      </c>
      <c r="Q384" t="s">
        <v>1045</v>
      </c>
      <c r="R384" t="s">
        <v>1227</v>
      </c>
      <c r="S384" t="s">
        <v>928</v>
      </c>
      <c r="T384" t="s">
        <v>1045</v>
      </c>
    </row>
    <row r="385" spans="1:20">
      <c r="A385" t="s">
        <v>372</v>
      </c>
      <c r="B385" t="s">
        <v>1655</v>
      </c>
      <c r="C385" t="s">
        <v>936</v>
      </c>
      <c r="D385" t="s">
        <v>2414</v>
      </c>
      <c r="E385" t="s">
        <v>1655</v>
      </c>
      <c r="F385" t="s">
        <v>2354</v>
      </c>
      <c r="G385" t="s">
        <v>1728</v>
      </c>
      <c r="H385" t="s">
        <v>3278</v>
      </c>
      <c r="I385">
        <v>136.10400000000001</v>
      </c>
      <c r="J385" t="s">
        <v>722</v>
      </c>
      <c r="K385" t="s">
        <v>1180</v>
      </c>
      <c r="L385" t="s">
        <v>1238</v>
      </c>
      <c r="M385" t="s">
        <v>2354</v>
      </c>
      <c r="N385" t="s">
        <v>1728</v>
      </c>
      <c r="O385" t="s">
        <v>3278</v>
      </c>
      <c r="P385">
        <v>136.10400000000001</v>
      </c>
      <c r="Q385" t="s">
        <v>722</v>
      </c>
      <c r="R385" t="s">
        <v>1180</v>
      </c>
      <c r="S385" t="s">
        <v>1238</v>
      </c>
      <c r="T385" t="s">
        <v>1707</v>
      </c>
    </row>
    <row r="386" spans="1:20">
      <c r="A386" t="s">
        <v>162</v>
      </c>
      <c r="B386" t="s">
        <v>2794</v>
      </c>
      <c r="C386" t="s">
        <v>937</v>
      </c>
      <c r="D386" t="s">
        <v>2794</v>
      </c>
      <c r="E386" t="s">
        <v>636</v>
      </c>
      <c r="F386" t="s">
        <v>2132</v>
      </c>
      <c r="G386" t="s">
        <v>635</v>
      </c>
      <c r="H386" t="s">
        <v>3579</v>
      </c>
      <c r="I386" t="s">
        <v>3580</v>
      </c>
      <c r="J386" t="s">
        <v>636</v>
      </c>
      <c r="K386" t="s">
        <v>873</v>
      </c>
      <c r="L386" t="s">
        <v>762</v>
      </c>
      <c r="M386" t="s">
        <v>2132</v>
      </c>
      <c r="N386" t="s">
        <v>635</v>
      </c>
      <c r="O386" t="s">
        <v>3579</v>
      </c>
      <c r="P386" t="s">
        <v>3580</v>
      </c>
      <c r="Q386" t="s">
        <v>636</v>
      </c>
      <c r="R386" t="s">
        <v>873</v>
      </c>
      <c r="S386" t="s">
        <v>762</v>
      </c>
      <c r="T386" t="s">
        <v>2073</v>
      </c>
    </row>
    <row r="387" spans="1:20">
      <c r="A387" t="s">
        <v>163</v>
      </c>
      <c r="B387" t="s">
        <v>2177</v>
      </c>
      <c r="C387" t="s">
        <v>937</v>
      </c>
      <c r="D387" t="s">
        <v>2177</v>
      </c>
      <c r="E387" t="s">
        <v>3082</v>
      </c>
      <c r="F387" t="s">
        <v>997</v>
      </c>
      <c r="G387" t="s">
        <v>1308</v>
      </c>
      <c r="H387" t="s">
        <v>3499</v>
      </c>
      <c r="I387" t="s">
        <v>3500</v>
      </c>
      <c r="J387" t="s">
        <v>595</v>
      </c>
      <c r="K387" t="s">
        <v>837</v>
      </c>
      <c r="L387" t="s">
        <v>2348</v>
      </c>
      <c r="M387" t="s">
        <v>997</v>
      </c>
      <c r="N387" t="s">
        <v>1308</v>
      </c>
      <c r="O387" t="s">
        <v>3499</v>
      </c>
      <c r="P387" t="s">
        <v>3500</v>
      </c>
      <c r="Q387" t="s">
        <v>595</v>
      </c>
      <c r="R387" t="s">
        <v>837</v>
      </c>
      <c r="S387" t="s">
        <v>2348</v>
      </c>
      <c r="T387" t="s">
        <v>595</v>
      </c>
    </row>
    <row r="388" spans="1:20">
      <c r="A388" t="s">
        <v>164</v>
      </c>
      <c r="B388" t="s">
        <v>2889</v>
      </c>
      <c r="C388" t="s">
        <v>936</v>
      </c>
      <c r="D388" t="s">
        <v>2889</v>
      </c>
      <c r="E388" t="s">
        <v>2995</v>
      </c>
      <c r="F388" t="s">
        <v>1053</v>
      </c>
      <c r="G388" t="s">
        <v>1734</v>
      </c>
      <c r="H388" t="s">
        <v>3756</v>
      </c>
      <c r="I388">
        <v>406.38900000000001</v>
      </c>
      <c r="J388" t="s">
        <v>1336</v>
      </c>
      <c r="K388" t="s">
        <v>2514</v>
      </c>
      <c r="L388" t="s">
        <v>2744</v>
      </c>
      <c r="M388" t="s">
        <v>1053</v>
      </c>
      <c r="N388" t="s">
        <v>1734</v>
      </c>
      <c r="O388" t="s">
        <v>3756</v>
      </c>
      <c r="P388">
        <v>406.38900000000001</v>
      </c>
      <c r="Q388" t="s">
        <v>1336</v>
      </c>
      <c r="R388" t="s">
        <v>2514</v>
      </c>
      <c r="S388" t="s">
        <v>2744</v>
      </c>
      <c r="T388" t="s">
        <v>1336</v>
      </c>
    </row>
    <row r="389" spans="1:20">
      <c r="A389" t="s">
        <v>373</v>
      </c>
      <c r="B389" t="s">
        <v>2972</v>
      </c>
      <c r="C389" t="s">
        <v>937</v>
      </c>
      <c r="D389" t="s">
        <v>2457</v>
      </c>
      <c r="E389" t="s">
        <v>2972</v>
      </c>
      <c r="F389" t="s">
        <v>2807</v>
      </c>
      <c r="G389" t="s">
        <v>965</v>
      </c>
      <c r="H389" t="s">
        <v>3691</v>
      </c>
      <c r="I389" t="s">
        <v>3692</v>
      </c>
      <c r="J389" t="s">
        <v>1027</v>
      </c>
      <c r="K389" t="s">
        <v>2490</v>
      </c>
      <c r="L389" t="s">
        <v>1976</v>
      </c>
      <c r="M389" t="s">
        <v>2807</v>
      </c>
      <c r="N389" t="s">
        <v>965</v>
      </c>
      <c r="O389" t="s">
        <v>3691</v>
      </c>
      <c r="P389" t="s">
        <v>3692</v>
      </c>
      <c r="Q389" t="s">
        <v>1027</v>
      </c>
      <c r="R389" t="s">
        <v>2490</v>
      </c>
      <c r="S389" t="s">
        <v>1976</v>
      </c>
      <c r="T389" t="s">
        <v>1027</v>
      </c>
    </row>
    <row r="390" spans="1:20">
      <c r="A390" t="s">
        <v>624</v>
      </c>
      <c r="B390" t="s">
        <v>3004</v>
      </c>
      <c r="C390" t="s">
        <v>937</v>
      </c>
      <c r="D390" t="s">
        <v>3101</v>
      </c>
      <c r="E390" t="s">
        <v>3004</v>
      </c>
      <c r="F390" t="s">
        <v>1002</v>
      </c>
      <c r="G390" t="s">
        <v>3204</v>
      </c>
      <c r="H390" t="s">
        <v>3908</v>
      </c>
      <c r="I390" t="s">
        <v>3909</v>
      </c>
      <c r="J390" t="s">
        <v>1549</v>
      </c>
      <c r="K390" t="s">
        <v>1248</v>
      </c>
      <c r="L390" t="s">
        <v>3045</v>
      </c>
      <c r="M390" t="s">
        <v>1002</v>
      </c>
      <c r="N390" t="s">
        <v>3204</v>
      </c>
      <c r="O390" t="s">
        <v>3908</v>
      </c>
      <c r="P390" t="s">
        <v>3909</v>
      </c>
      <c r="Q390" t="s">
        <v>1549</v>
      </c>
      <c r="R390" t="s">
        <v>1248</v>
      </c>
      <c r="S390" t="s">
        <v>3045</v>
      </c>
      <c r="T390" t="s">
        <v>1771</v>
      </c>
    </row>
    <row r="391" spans="1:20">
      <c r="A391" t="s">
        <v>165</v>
      </c>
      <c r="B391" t="s">
        <v>2784</v>
      </c>
      <c r="C391" t="s">
        <v>936</v>
      </c>
      <c r="D391" t="s">
        <v>1416</v>
      </c>
      <c r="E391" t="s">
        <v>2784</v>
      </c>
      <c r="F391" t="s">
        <v>826</v>
      </c>
      <c r="G391" t="s">
        <v>958</v>
      </c>
      <c r="H391" t="s">
        <v>3279</v>
      </c>
      <c r="I391">
        <v>379.44400000000002</v>
      </c>
      <c r="J391" t="s">
        <v>1551</v>
      </c>
      <c r="K391" t="s">
        <v>931</v>
      </c>
      <c r="L391" t="s">
        <v>928</v>
      </c>
      <c r="M391" t="s">
        <v>826</v>
      </c>
      <c r="N391" t="s">
        <v>958</v>
      </c>
      <c r="O391" t="s">
        <v>3279</v>
      </c>
      <c r="P391">
        <v>379.44400000000002</v>
      </c>
      <c r="Q391" t="s">
        <v>1551</v>
      </c>
      <c r="R391" t="s">
        <v>931</v>
      </c>
      <c r="S391" t="s">
        <v>928</v>
      </c>
      <c r="T391" t="s">
        <v>1078</v>
      </c>
    </row>
    <row r="392" spans="1:20">
      <c r="A392" t="s">
        <v>374</v>
      </c>
      <c r="B392" t="s">
        <v>1890</v>
      </c>
      <c r="C392" t="s">
        <v>936</v>
      </c>
      <c r="D392" t="s">
        <v>2948</v>
      </c>
      <c r="E392" t="s">
        <v>1890</v>
      </c>
      <c r="F392" t="s">
        <v>737</v>
      </c>
      <c r="G392" t="s">
        <v>1411</v>
      </c>
      <c r="H392" t="s">
        <v>3280</v>
      </c>
      <c r="I392">
        <v>115.845</v>
      </c>
      <c r="J392" t="s">
        <v>1411</v>
      </c>
      <c r="K392" t="s">
        <v>2482</v>
      </c>
      <c r="L392" t="s">
        <v>2274</v>
      </c>
      <c r="M392" t="s">
        <v>737</v>
      </c>
      <c r="N392" t="s">
        <v>1411</v>
      </c>
      <c r="O392" t="s">
        <v>3280</v>
      </c>
      <c r="P392">
        <v>115.845</v>
      </c>
      <c r="Q392" t="s">
        <v>1411</v>
      </c>
      <c r="R392" t="s">
        <v>2482</v>
      </c>
      <c r="S392" t="s">
        <v>2274</v>
      </c>
      <c r="T392" t="s">
        <v>1411</v>
      </c>
    </row>
    <row r="393" spans="1:20">
      <c r="A393" t="s">
        <v>375</v>
      </c>
      <c r="B393" t="s">
        <v>2690</v>
      </c>
      <c r="C393" t="s">
        <v>937</v>
      </c>
      <c r="D393" t="s">
        <v>2690</v>
      </c>
      <c r="E393" t="s">
        <v>2413</v>
      </c>
      <c r="F393" t="s">
        <v>2074</v>
      </c>
      <c r="G393" t="s">
        <v>2690</v>
      </c>
      <c r="H393" t="s">
        <v>3344</v>
      </c>
      <c r="I393">
        <v>536.59799999999996</v>
      </c>
      <c r="J393" t="s">
        <v>1484</v>
      </c>
      <c r="K393" t="s">
        <v>2652</v>
      </c>
      <c r="L393" t="s">
        <v>2875</v>
      </c>
      <c r="M393" t="s">
        <v>2074</v>
      </c>
      <c r="N393" t="s">
        <v>2690</v>
      </c>
      <c r="O393" t="s">
        <v>3344</v>
      </c>
      <c r="P393">
        <v>536.59799999999996</v>
      </c>
      <c r="Q393" t="s">
        <v>1484</v>
      </c>
      <c r="R393" t="s">
        <v>2652</v>
      </c>
      <c r="S393" t="s">
        <v>2875</v>
      </c>
      <c r="T393" t="s">
        <v>1484</v>
      </c>
    </row>
    <row r="394" spans="1:20">
      <c r="A394" t="s">
        <v>166</v>
      </c>
      <c r="B394" t="s">
        <v>1552</v>
      </c>
      <c r="C394" t="s">
        <v>937</v>
      </c>
      <c r="D394" t="s">
        <v>1552</v>
      </c>
      <c r="E394" t="s">
        <v>1584</v>
      </c>
      <c r="F394" t="s">
        <v>2035</v>
      </c>
      <c r="G394" t="s">
        <v>2104</v>
      </c>
      <c r="H394" t="s">
        <v>3757</v>
      </c>
      <c r="I394">
        <v>351.21800000000002</v>
      </c>
      <c r="J394" t="s">
        <v>1552</v>
      </c>
      <c r="K394" t="s">
        <v>804</v>
      </c>
      <c r="L394" t="s">
        <v>804</v>
      </c>
      <c r="M394" t="s">
        <v>2035</v>
      </c>
      <c r="N394" t="s">
        <v>2104</v>
      </c>
      <c r="O394" t="s">
        <v>3757</v>
      </c>
      <c r="P394">
        <v>351.21800000000002</v>
      </c>
      <c r="Q394" t="s">
        <v>1552</v>
      </c>
      <c r="R394" t="s">
        <v>804</v>
      </c>
      <c r="S394" t="s">
        <v>804</v>
      </c>
      <c r="T394" t="s">
        <v>1552</v>
      </c>
    </row>
    <row r="395" spans="1:20">
      <c r="A395" t="s">
        <v>376</v>
      </c>
      <c r="B395" t="s">
        <v>2923</v>
      </c>
      <c r="C395" t="s">
        <v>937</v>
      </c>
      <c r="D395" t="s">
        <v>2886</v>
      </c>
      <c r="E395" t="s">
        <v>2923</v>
      </c>
      <c r="F395" t="s">
        <v>2402</v>
      </c>
      <c r="G395" t="s">
        <v>1722</v>
      </c>
      <c r="H395" t="s">
        <v>3758</v>
      </c>
      <c r="I395">
        <v>533.846</v>
      </c>
      <c r="J395" t="s">
        <v>1042</v>
      </c>
      <c r="K395" t="s">
        <v>773</v>
      </c>
      <c r="L395" t="s">
        <v>1009</v>
      </c>
      <c r="M395" t="s">
        <v>2402</v>
      </c>
      <c r="N395" t="s">
        <v>1722</v>
      </c>
      <c r="O395" t="s">
        <v>3758</v>
      </c>
      <c r="P395">
        <v>533.846</v>
      </c>
      <c r="Q395" t="s">
        <v>1042</v>
      </c>
      <c r="R395" t="s">
        <v>773</v>
      </c>
      <c r="S395" t="s">
        <v>1009</v>
      </c>
      <c r="T395" t="s">
        <v>1042</v>
      </c>
    </row>
    <row r="396" spans="1:20">
      <c r="A396" t="s">
        <v>377</v>
      </c>
      <c r="B396" t="s">
        <v>2930</v>
      </c>
      <c r="C396" t="s">
        <v>937</v>
      </c>
      <c r="D396" t="s">
        <v>2930</v>
      </c>
      <c r="E396" t="s">
        <v>1057</v>
      </c>
      <c r="F396" t="s">
        <v>2075</v>
      </c>
      <c r="G396" t="s">
        <v>1797</v>
      </c>
      <c r="H396" t="s">
        <v>3811</v>
      </c>
      <c r="I396" t="s">
        <v>3812</v>
      </c>
      <c r="J396" t="s">
        <v>714</v>
      </c>
      <c r="K396" t="s">
        <v>752</v>
      </c>
      <c r="L396" t="s">
        <v>2461</v>
      </c>
      <c r="M396" t="s">
        <v>2075</v>
      </c>
      <c r="N396" t="s">
        <v>1797</v>
      </c>
      <c r="O396" t="s">
        <v>3811</v>
      </c>
      <c r="P396" t="s">
        <v>3812</v>
      </c>
      <c r="Q396" t="s">
        <v>714</v>
      </c>
      <c r="R396" t="s">
        <v>752</v>
      </c>
      <c r="S396" t="s">
        <v>2461</v>
      </c>
      <c r="T396" t="s">
        <v>1699</v>
      </c>
    </row>
    <row r="397" spans="1:20">
      <c r="A397" t="s">
        <v>378</v>
      </c>
      <c r="B397" t="s">
        <v>657</v>
      </c>
      <c r="C397" t="s">
        <v>937</v>
      </c>
      <c r="D397" t="s">
        <v>2387</v>
      </c>
      <c r="E397" t="s">
        <v>657</v>
      </c>
      <c r="F397" t="s">
        <v>660</v>
      </c>
      <c r="G397" t="s">
        <v>2076</v>
      </c>
      <c r="H397" t="s">
        <v>4037</v>
      </c>
      <c r="I397" t="s">
        <v>4038</v>
      </c>
      <c r="J397" t="s">
        <v>1553</v>
      </c>
      <c r="K397" t="s">
        <v>922</v>
      </c>
      <c r="L397" t="s">
        <v>2465</v>
      </c>
      <c r="M397" t="s">
        <v>660</v>
      </c>
      <c r="N397" t="s">
        <v>2076</v>
      </c>
      <c r="O397" t="s">
        <v>4037</v>
      </c>
      <c r="P397" t="s">
        <v>4038</v>
      </c>
      <c r="Q397" t="s">
        <v>1553</v>
      </c>
      <c r="R397" t="s">
        <v>922</v>
      </c>
      <c r="S397" t="s">
        <v>2465</v>
      </c>
      <c r="T397" t="s">
        <v>956</v>
      </c>
    </row>
    <row r="398" spans="1:20">
      <c r="A398" t="s">
        <v>167</v>
      </c>
      <c r="C398" t="s">
        <v>938</v>
      </c>
      <c r="J398" t="s">
        <v>619</v>
      </c>
      <c r="Q398" t="s">
        <v>619</v>
      </c>
    </row>
    <row r="399" spans="1:20">
      <c r="A399" t="s">
        <v>1554</v>
      </c>
      <c r="B399" t="s">
        <v>2626</v>
      </c>
      <c r="C399" t="s">
        <v>937</v>
      </c>
      <c r="D399" t="s">
        <v>630</v>
      </c>
      <c r="E399" t="s">
        <v>2626</v>
      </c>
      <c r="F399" t="s">
        <v>1110</v>
      </c>
      <c r="G399" t="s">
        <v>2077</v>
      </c>
      <c r="H399" t="s">
        <v>3813</v>
      </c>
      <c r="I399" t="s">
        <v>3814</v>
      </c>
      <c r="J399" t="s">
        <v>1555</v>
      </c>
      <c r="K399" t="s">
        <v>829</v>
      </c>
      <c r="L399" t="s">
        <v>1162</v>
      </c>
      <c r="M399" t="s">
        <v>1110</v>
      </c>
      <c r="N399" t="s">
        <v>2077</v>
      </c>
      <c r="O399" t="s">
        <v>3813</v>
      </c>
      <c r="P399" t="s">
        <v>3814</v>
      </c>
      <c r="Q399" t="s">
        <v>1555</v>
      </c>
      <c r="R399" t="s">
        <v>829</v>
      </c>
      <c r="S399" t="s">
        <v>1162</v>
      </c>
      <c r="T399" t="s">
        <v>1530</v>
      </c>
    </row>
    <row r="400" spans="1:20">
      <c r="A400" t="s">
        <v>379</v>
      </c>
      <c r="B400" t="s">
        <v>2122</v>
      </c>
      <c r="C400" t="s">
        <v>937</v>
      </c>
      <c r="D400" t="s">
        <v>2967</v>
      </c>
      <c r="E400" t="s">
        <v>2122</v>
      </c>
      <c r="F400" t="s">
        <v>2425</v>
      </c>
      <c r="G400" t="s">
        <v>1939</v>
      </c>
      <c r="H400" t="s">
        <v>4109</v>
      </c>
      <c r="I400" t="s">
        <v>4087</v>
      </c>
      <c r="J400" t="s">
        <v>1491</v>
      </c>
      <c r="K400" t="s">
        <v>788</v>
      </c>
      <c r="L400" t="s">
        <v>836</v>
      </c>
      <c r="M400" t="s">
        <v>2425</v>
      </c>
      <c r="N400" t="s">
        <v>1939</v>
      </c>
      <c r="O400" t="s">
        <v>4109</v>
      </c>
      <c r="P400" t="s">
        <v>4087</v>
      </c>
      <c r="Q400" t="s">
        <v>1491</v>
      </c>
      <c r="R400" t="s">
        <v>788</v>
      </c>
      <c r="S400" t="s">
        <v>836</v>
      </c>
      <c r="T400" t="s">
        <v>2079</v>
      </c>
    </row>
    <row r="401" spans="1:20">
      <c r="A401" t="s">
        <v>168</v>
      </c>
      <c r="B401" t="s">
        <v>2620</v>
      </c>
      <c r="C401" t="s">
        <v>937</v>
      </c>
      <c r="D401" t="s">
        <v>698</v>
      </c>
      <c r="E401" t="s">
        <v>2620</v>
      </c>
      <c r="F401" t="s">
        <v>1592</v>
      </c>
      <c r="G401" t="s">
        <v>1557</v>
      </c>
      <c r="H401" t="s">
        <v>3731</v>
      </c>
      <c r="I401" t="s">
        <v>3732</v>
      </c>
      <c r="J401" t="s">
        <v>1557</v>
      </c>
      <c r="K401" t="s">
        <v>931</v>
      </c>
      <c r="L401" t="s">
        <v>1989</v>
      </c>
      <c r="M401" t="s">
        <v>1592</v>
      </c>
      <c r="N401" t="s">
        <v>1557</v>
      </c>
      <c r="O401" t="s">
        <v>3731</v>
      </c>
      <c r="P401" t="s">
        <v>3732</v>
      </c>
      <c r="Q401" t="s">
        <v>1557</v>
      </c>
      <c r="R401" t="s">
        <v>931</v>
      </c>
      <c r="S401" t="s">
        <v>1989</v>
      </c>
      <c r="T401" t="s">
        <v>1557</v>
      </c>
    </row>
    <row r="402" spans="1:20">
      <c r="A402" t="s">
        <v>380</v>
      </c>
      <c r="B402" t="s">
        <v>2653</v>
      </c>
      <c r="C402" t="s">
        <v>937</v>
      </c>
      <c r="D402" t="s">
        <v>2653</v>
      </c>
      <c r="E402" t="s">
        <v>2335</v>
      </c>
      <c r="F402" t="s">
        <v>1474</v>
      </c>
      <c r="G402" t="s">
        <v>993</v>
      </c>
      <c r="H402" t="s">
        <v>3666</v>
      </c>
      <c r="I402" t="s">
        <v>3667</v>
      </c>
      <c r="J402" t="s">
        <v>1558</v>
      </c>
      <c r="K402" t="s">
        <v>761</v>
      </c>
      <c r="L402" t="s">
        <v>2512</v>
      </c>
      <c r="M402" t="s">
        <v>1474</v>
      </c>
      <c r="N402" t="s">
        <v>993</v>
      </c>
      <c r="O402" t="s">
        <v>3666</v>
      </c>
      <c r="P402" t="s">
        <v>3667</v>
      </c>
      <c r="Q402" t="s">
        <v>1558</v>
      </c>
      <c r="R402" t="s">
        <v>761</v>
      </c>
      <c r="S402" t="s">
        <v>2512</v>
      </c>
      <c r="T402" t="s">
        <v>993</v>
      </c>
    </row>
    <row r="403" spans="1:20">
      <c r="A403" t="s">
        <v>169</v>
      </c>
      <c r="B403" t="s">
        <v>1980</v>
      </c>
      <c r="C403" t="s">
        <v>937</v>
      </c>
      <c r="D403" t="s">
        <v>2895</v>
      </c>
      <c r="E403" t="s">
        <v>1980</v>
      </c>
      <c r="F403" t="s">
        <v>2152</v>
      </c>
      <c r="G403" t="s">
        <v>1980</v>
      </c>
      <c r="H403" t="s">
        <v>4110</v>
      </c>
      <c r="I403" t="s">
        <v>4088</v>
      </c>
      <c r="J403" t="s">
        <v>1321</v>
      </c>
      <c r="K403" t="s">
        <v>769</v>
      </c>
      <c r="L403" t="s">
        <v>2707</v>
      </c>
      <c r="M403" t="s">
        <v>2152</v>
      </c>
      <c r="N403" t="s">
        <v>1980</v>
      </c>
      <c r="O403" t="s">
        <v>4110</v>
      </c>
      <c r="P403" t="s">
        <v>4088</v>
      </c>
      <c r="Q403" t="s">
        <v>1321</v>
      </c>
      <c r="R403" t="s">
        <v>769</v>
      </c>
      <c r="S403" t="s">
        <v>2707</v>
      </c>
      <c r="T403" t="s">
        <v>687</v>
      </c>
    </row>
    <row r="404" spans="1:20">
      <c r="A404" t="s">
        <v>170</v>
      </c>
      <c r="B404" t="s">
        <v>2049</v>
      </c>
      <c r="C404" t="s">
        <v>936</v>
      </c>
      <c r="D404" t="s">
        <v>2548</v>
      </c>
      <c r="E404" t="s">
        <v>2049</v>
      </c>
      <c r="F404" t="s">
        <v>2296</v>
      </c>
      <c r="G404" t="s">
        <v>1008</v>
      </c>
      <c r="H404" t="s">
        <v>3464</v>
      </c>
      <c r="I404">
        <v>391.75700000000001</v>
      </c>
      <c r="J404" t="s">
        <v>1263</v>
      </c>
      <c r="K404" t="s">
        <v>872</v>
      </c>
      <c r="L404" t="s">
        <v>1180</v>
      </c>
      <c r="M404" t="s">
        <v>2296</v>
      </c>
      <c r="N404" t="s">
        <v>1008</v>
      </c>
      <c r="O404" t="s">
        <v>3464</v>
      </c>
      <c r="P404">
        <v>391.75700000000001</v>
      </c>
      <c r="Q404" t="s">
        <v>1263</v>
      </c>
      <c r="R404" t="s">
        <v>872</v>
      </c>
      <c r="S404" t="s">
        <v>1180</v>
      </c>
      <c r="T404" t="s">
        <v>1892</v>
      </c>
    </row>
    <row r="405" spans="1:20">
      <c r="A405" t="s">
        <v>171</v>
      </c>
      <c r="B405" t="s">
        <v>3043</v>
      </c>
      <c r="C405" t="s">
        <v>936</v>
      </c>
      <c r="D405" t="s">
        <v>3044</v>
      </c>
      <c r="E405" t="s">
        <v>3043</v>
      </c>
      <c r="F405" t="s">
        <v>1871</v>
      </c>
      <c r="G405" t="s">
        <v>3189</v>
      </c>
      <c r="H405" t="s">
        <v>3910</v>
      </c>
      <c r="I405" t="s">
        <v>3911</v>
      </c>
      <c r="J405" t="s">
        <v>1402</v>
      </c>
      <c r="K405" t="s">
        <v>2561</v>
      </c>
      <c r="L405" t="s">
        <v>951</v>
      </c>
      <c r="M405" t="s">
        <v>1871</v>
      </c>
      <c r="N405" t="s">
        <v>3189</v>
      </c>
      <c r="O405" t="s">
        <v>3910</v>
      </c>
      <c r="P405" t="s">
        <v>3911</v>
      </c>
      <c r="Q405" t="s">
        <v>1402</v>
      </c>
      <c r="R405" t="s">
        <v>2561</v>
      </c>
      <c r="S405" t="s">
        <v>951</v>
      </c>
      <c r="T405" t="s">
        <v>1863</v>
      </c>
    </row>
    <row r="406" spans="1:20">
      <c r="A406" t="s">
        <v>172</v>
      </c>
      <c r="B406" t="s">
        <v>2916</v>
      </c>
      <c r="C406" t="s">
        <v>936</v>
      </c>
      <c r="D406" t="s">
        <v>2640</v>
      </c>
      <c r="E406" t="s">
        <v>2916</v>
      </c>
      <c r="F406" t="s">
        <v>2297</v>
      </c>
      <c r="G406" t="s">
        <v>940</v>
      </c>
      <c r="H406" t="s">
        <v>3394</v>
      </c>
      <c r="I406" t="s">
        <v>3395</v>
      </c>
      <c r="J406" t="s">
        <v>601</v>
      </c>
      <c r="K406" t="s">
        <v>836</v>
      </c>
      <c r="L406" t="s">
        <v>1754</v>
      </c>
      <c r="M406" t="s">
        <v>2297</v>
      </c>
      <c r="N406" t="s">
        <v>940</v>
      </c>
      <c r="O406" t="s">
        <v>3394</v>
      </c>
      <c r="P406" t="s">
        <v>3395</v>
      </c>
      <c r="Q406" t="s">
        <v>601</v>
      </c>
      <c r="R406" t="s">
        <v>836</v>
      </c>
      <c r="S406" t="s">
        <v>1754</v>
      </c>
      <c r="T406" t="s">
        <v>1927</v>
      </c>
    </row>
    <row r="407" spans="1:20">
      <c r="A407" t="s">
        <v>173</v>
      </c>
      <c r="B407" t="s">
        <v>2918</v>
      </c>
      <c r="C407" t="s">
        <v>936</v>
      </c>
      <c r="D407" t="s">
        <v>2371</v>
      </c>
      <c r="E407" t="s">
        <v>2918</v>
      </c>
      <c r="F407" t="s">
        <v>1074</v>
      </c>
      <c r="G407" t="s">
        <v>1937</v>
      </c>
      <c r="H407" t="s">
        <v>3551</v>
      </c>
      <c r="I407">
        <v>63.104999999999997</v>
      </c>
      <c r="J407" t="s">
        <v>1559</v>
      </c>
      <c r="K407" t="s">
        <v>2482</v>
      </c>
      <c r="L407" t="s">
        <v>2495</v>
      </c>
      <c r="M407" t="s">
        <v>1074</v>
      </c>
      <c r="N407" t="s">
        <v>1937</v>
      </c>
      <c r="O407" t="s">
        <v>3551</v>
      </c>
      <c r="P407">
        <v>63.104999999999997</v>
      </c>
      <c r="Q407" t="s">
        <v>1559</v>
      </c>
      <c r="R407" t="s">
        <v>2482</v>
      </c>
      <c r="S407" t="s">
        <v>2495</v>
      </c>
      <c r="T407" t="s">
        <v>1947</v>
      </c>
    </row>
    <row r="408" spans="1:20">
      <c r="A408" t="s">
        <v>174</v>
      </c>
      <c r="B408" t="s">
        <v>3216</v>
      </c>
      <c r="C408" t="s">
        <v>937</v>
      </c>
      <c r="D408" t="s">
        <v>3216</v>
      </c>
      <c r="E408" t="s">
        <v>3161</v>
      </c>
      <c r="F408" t="s">
        <v>3076</v>
      </c>
      <c r="G408" t="s">
        <v>2080</v>
      </c>
      <c r="H408" t="s">
        <v>3581</v>
      </c>
      <c r="I408">
        <v>425.81400000000002</v>
      </c>
      <c r="J408" t="s">
        <v>1560</v>
      </c>
      <c r="K408" t="s">
        <v>1864</v>
      </c>
      <c r="L408" t="s">
        <v>2868</v>
      </c>
      <c r="M408" t="s">
        <v>3076</v>
      </c>
      <c r="N408" t="s">
        <v>2080</v>
      </c>
      <c r="O408" t="s">
        <v>3581</v>
      </c>
      <c r="P408">
        <v>425.81400000000002</v>
      </c>
      <c r="Q408" t="s">
        <v>1560</v>
      </c>
      <c r="R408" t="s">
        <v>1864</v>
      </c>
      <c r="S408" t="s">
        <v>2868</v>
      </c>
      <c r="T408" t="s">
        <v>2081</v>
      </c>
    </row>
    <row r="409" spans="1:20">
      <c r="A409" t="s">
        <v>381</v>
      </c>
      <c r="B409" t="s">
        <v>2821</v>
      </c>
      <c r="C409" t="s">
        <v>937</v>
      </c>
      <c r="D409" t="s">
        <v>2821</v>
      </c>
      <c r="E409" t="s">
        <v>1913</v>
      </c>
      <c r="F409" t="s">
        <v>2000</v>
      </c>
      <c r="G409" t="s">
        <v>2082</v>
      </c>
      <c r="H409" t="s">
        <v>3668</v>
      </c>
      <c r="I409" t="s">
        <v>3669</v>
      </c>
      <c r="J409" t="s">
        <v>1562</v>
      </c>
      <c r="K409" t="s">
        <v>817</v>
      </c>
      <c r="L409" t="s">
        <v>2692</v>
      </c>
      <c r="M409" t="s">
        <v>2000</v>
      </c>
      <c r="N409" t="s">
        <v>2082</v>
      </c>
      <c r="O409" t="s">
        <v>3668</v>
      </c>
      <c r="P409" t="s">
        <v>3669</v>
      </c>
      <c r="Q409" t="s">
        <v>1562</v>
      </c>
      <c r="R409" t="s">
        <v>817</v>
      </c>
      <c r="S409" t="s">
        <v>2692</v>
      </c>
      <c r="T409" t="s">
        <v>2083</v>
      </c>
    </row>
    <row r="410" spans="1:20">
      <c r="A410" t="s">
        <v>382</v>
      </c>
      <c r="B410" t="s">
        <v>1833</v>
      </c>
      <c r="C410" t="s">
        <v>936</v>
      </c>
      <c r="D410" t="s">
        <v>2877</v>
      </c>
      <c r="E410" t="s">
        <v>1833</v>
      </c>
      <c r="F410" t="s">
        <v>1833</v>
      </c>
      <c r="G410" t="s">
        <v>2881</v>
      </c>
      <c r="H410" t="s">
        <v>3514</v>
      </c>
      <c r="I410">
        <v>292.77</v>
      </c>
      <c r="J410" t="s">
        <v>736</v>
      </c>
      <c r="K410" t="s">
        <v>894</v>
      </c>
      <c r="L410" t="s">
        <v>2627</v>
      </c>
      <c r="M410" t="s">
        <v>1833</v>
      </c>
      <c r="N410" t="s">
        <v>2881</v>
      </c>
      <c r="O410" t="s">
        <v>3514</v>
      </c>
      <c r="P410">
        <v>292.77</v>
      </c>
      <c r="Q410" t="s">
        <v>736</v>
      </c>
      <c r="R410" t="s">
        <v>894</v>
      </c>
      <c r="S410" t="s">
        <v>2627</v>
      </c>
      <c r="T410" t="s">
        <v>1133</v>
      </c>
    </row>
    <row r="411" spans="1:20">
      <c r="A411" t="s">
        <v>175</v>
      </c>
      <c r="B411" t="s">
        <v>646</v>
      </c>
      <c r="C411" t="s">
        <v>937</v>
      </c>
      <c r="D411" t="s">
        <v>646</v>
      </c>
      <c r="E411" t="s">
        <v>2898</v>
      </c>
      <c r="F411" t="s">
        <v>2928</v>
      </c>
      <c r="G411" t="s">
        <v>1044</v>
      </c>
      <c r="H411" t="s">
        <v>3345</v>
      </c>
      <c r="I411">
        <v>336.91199999999998</v>
      </c>
      <c r="J411" t="s">
        <v>646</v>
      </c>
      <c r="K411" t="s">
        <v>804</v>
      </c>
      <c r="L411" t="s">
        <v>804</v>
      </c>
      <c r="M411" t="s">
        <v>2928</v>
      </c>
      <c r="N411" t="s">
        <v>1044</v>
      </c>
      <c r="O411" t="s">
        <v>3345</v>
      </c>
      <c r="P411">
        <v>336.91199999999998</v>
      </c>
      <c r="Q411" t="s">
        <v>646</v>
      </c>
      <c r="R411" t="s">
        <v>804</v>
      </c>
      <c r="S411" t="s">
        <v>804</v>
      </c>
      <c r="T411" t="s">
        <v>1757</v>
      </c>
    </row>
    <row r="412" spans="1:20">
      <c r="A412" t="s">
        <v>176</v>
      </c>
      <c r="B412" t="s">
        <v>2493</v>
      </c>
      <c r="C412" t="s">
        <v>937</v>
      </c>
      <c r="D412" t="s">
        <v>2493</v>
      </c>
      <c r="E412" t="s">
        <v>1067</v>
      </c>
      <c r="F412" t="s">
        <v>2084</v>
      </c>
      <c r="G412" t="s">
        <v>2493</v>
      </c>
      <c r="H412" t="s">
        <v>3912</v>
      </c>
      <c r="I412" t="s">
        <v>3913</v>
      </c>
      <c r="J412" t="s">
        <v>1538</v>
      </c>
      <c r="K412" t="s">
        <v>866</v>
      </c>
      <c r="L412" t="s">
        <v>1167</v>
      </c>
      <c r="M412" t="s">
        <v>2084</v>
      </c>
      <c r="N412" t="s">
        <v>2493</v>
      </c>
      <c r="O412" t="s">
        <v>3912</v>
      </c>
      <c r="P412" t="s">
        <v>3913</v>
      </c>
      <c r="Q412" t="s">
        <v>1538</v>
      </c>
      <c r="R412" t="s">
        <v>866</v>
      </c>
      <c r="S412" t="s">
        <v>1167</v>
      </c>
      <c r="T412" t="s">
        <v>887</v>
      </c>
    </row>
    <row r="413" spans="1:20">
      <c r="A413" t="s">
        <v>177</v>
      </c>
      <c r="B413" t="s">
        <v>3217</v>
      </c>
      <c r="C413" t="s">
        <v>937</v>
      </c>
      <c r="D413" t="s">
        <v>3217</v>
      </c>
      <c r="E413" t="s">
        <v>3139</v>
      </c>
      <c r="F413" t="s">
        <v>2085</v>
      </c>
      <c r="G413" t="s">
        <v>2160</v>
      </c>
      <c r="H413" t="s">
        <v>3281</v>
      </c>
      <c r="I413">
        <v>3.0009999999999999</v>
      </c>
      <c r="J413" t="s">
        <v>1564</v>
      </c>
      <c r="K413" t="s">
        <v>3228</v>
      </c>
      <c r="L413" t="s">
        <v>3080</v>
      </c>
      <c r="M413" t="s">
        <v>2085</v>
      </c>
      <c r="N413" t="s">
        <v>2160</v>
      </c>
      <c r="O413" t="s">
        <v>3281</v>
      </c>
      <c r="P413">
        <v>3.0009999999999999</v>
      </c>
      <c r="Q413" t="s">
        <v>1564</v>
      </c>
      <c r="R413" t="s">
        <v>3228</v>
      </c>
      <c r="S413" t="s">
        <v>3080</v>
      </c>
      <c r="T413" t="s">
        <v>1565</v>
      </c>
    </row>
    <row r="414" spans="1:20">
      <c r="A414" t="s">
        <v>383</v>
      </c>
      <c r="B414" t="s">
        <v>2546</v>
      </c>
      <c r="C414" t="s">
        <v>937</v>
      </c>
      <c r="D414" t="s">
        <v>2546</v>
      </c>
      <c r="E414" t="s">
        <v>2712</v>
      </c>
      <c r="F414" t="s">
        <v>877</v>
      </c>
      <c r="G414" t="s">
        <v>2546</v>
      </c>
      <c r="H414" t="s">
        <v>3759</v>
      </c>
      <c r="I414" t="s">
        <v>3760</v>
      </c>
      <c r="J414" t="s">
        <v>1566</v>
      </c>
      <c r="K414" t="s">
        <v>823</v>
      </c>
      <c r="L414" t="s">
        <v>871</v>
      </c>
      <c r="M414" t="s">
        <v>877</v>
      </c>
      <c r="N414" t="s">
        <v>2546</v>
      </c>
      <c r="O414" t="s">
        <v>3759</v>
      </c>
      <c r="P414" t="s">
        <v>3760</v>
      </c>
      <c r="Q414" t="s">
        <v>1566</v>
      </c>
      <c r="R414" t="s">
        <v>823</v>
      </c>
      <c r="S414" t="s">
        <v>871</v>
      </c>
      <c r="T414" t="s">
        <v>1038</v>
      </c>
    </row>
    <row r="415" spans="1:20">
      <c r="A415" t="s">
        <v>178</v>
      </c>
      <c r="B415" t="s">
        <v>2643</v>
      </c>
      <c r="C415" t="s">
        <v>936</v>
      </c>
      <c r="D415" t="s">
        <v>2643</v>
      </c>
      <c r="E415" t="s">
        <v>2229</v>
      </c>
      <c r="F415" t="s">
        <v>1816</v>
      </c>
      <c r="G415" t="s">
        <v>569</v>
      </c>
      <c r="H415" t="s">
        <v>3443</v>
      </c>
      <c r="I415" t="s">
        <v>3444</v>
      </c>
      <c r="J415" t="s">
        <v>1544</v>
      </c>
      <c r="K415" t="s">
        <v>1611</v>
      </c>
      <c r="L415" t="s">
        <v>794</v>
      </c>
      <c r="M415" t="s">
        <v>1816</v>
      </c>
      <c r="N415" t="s">
        <v>569</v>
      </c>
      <c r="O415" t="s">
        <v>3443</v>
      </c>
      <c r="P415" t="s">
        <v>3444</v>
      </c>
      <c r="Q415" t="s">
        <v>1544</v>
      </c>
      <c r="R415" t="s">
        <v>1611</v>
      </c>
      <c r="S415" t="s">
        <v>794</v>
      </c>
      <c r="T415" t="s">
        <v>569</v>
      </c>
    </row>
    <row r="416" spans="1:20">
      <c r="A416" t="s">
        <v>179</v>
      </c>
      <c r="B416" t="s">
        <v>1717</v>
      </c>
      <c r="C416" t="s">
        <v>937</v>
      </c>
      <c r="D416" t="s">
        <v>849</v>
      </c>
      <c r="E416" t="s">
        <v>1717</v>
      </c>
      <c r="F416" t="s">
        <v>664</v>
      </c>
      <c r="G416" t="s">
        <v>1568</v>
      </c>
      <c r="H416" t="s">
        <v>3600</v>
      </c>
      <c r="I416" t="s">
        <v>3601</v>
      </c>
      <c r="J416" t="s">
        <v>1567</v>
      </c>
      <c r="K416" t="s">
        <v>1641</v>
      </c>
      <c r="L416" t="s">
        <v>2295</v>
      </c>
      <c r="M416" t="s">
        <v>664</v>
      </c>
      <c r="N416" t="s">
        <v>1568</v>
      </c>
      <c r="O416" t="s">
        <v>3600</v>
      </c>
      <c r="P416" t="s">
        <v>3601</v>
      </c>
      <c r="Q416" t="s">
        <v>1567</v>
      </c>
      <c r="R416" t="s">
        <v>1641</v>
      </c>
      <c r="S416" t="s">
        <v>2295</v>
      </c>
      <c r="T416" t="s">
        <v>1999</v>
      </c>
    </row>
    <row r="417" spans="1:20">
      <c r="A417" t="s">
        <v>180</v>
      </c>
      <c r="B417" t="s">
        <v>1799</v>
      </c>
      <c r="C417" t="s">
        <v>936</v>
      </c>
      <c r="D417" t="s">
        <v>1799</v>
      </c>
      <c r="F417" t="s">
        <v>1799</v>
      </c>
      <c r="G417" t="s">
        <v>1761</v>
      </c>
      <c r="H417" t="s">
        <v>3417</v>
      </c>
      <c r="I417" t="s">
        <v>3418</v>
      </c>
      <c r="J417" t="s">
        <v>713</v>
      </c>
      <c r="K417" t="s">
        <v>1149</v>
      </c>
      <c r="L417" t="s">
        <v>1963</v>
      </c>
      <c r="M417" t="s">
        <v>1799</v>
      </c>
      <c r="N417" t="s">
        <v>1761</v>
      </c>
      <c r="O417" t="s">
        <v>3417</v>
      </c>
      <c r="P417" t="s">
        <v>3418</v>
      </c>
      <c r="Q417" t="s">
        <v>713</v>
      </c>
      <c r="R417" t="s">
        <v>1149</v>
      </c>
      <c r="S417" t="s">
        <v>1963</v>
      </c>
      <c r="T417" t="s">
        <v>713</v>
      </c>
    </row>
    <row r="418" spans="1:20">
      <c r="A418" t="s">
        <v>181</v>
      </c>
      <c r="B418" t="s">
        <v>1094</v>
      </c>
      <c r="C418" t="s">
        <v>937</v>
      </c>
      <c r="E418" t="s">
        <v>1094</v>
      </c>
      <c r="F418" t="s">
        <v>1028</v>
      </c>
      <c r="G418" t="s">
        <v>1094</v>
      </c>
      <c r="H418" t="s">
        <v>3815</v>
      </c>
      <c r="I418" t="s">
        <v>3816</v>
      </c>
      <c r="J418" t="s">
        <v>1569</v>
      </c>
      <c r="K418" t="s">
        <v>3061</v>
      </c>
      <c r="L418" t="s">
        <v>3062</v>
      </c>
      <c r="M418" t="s">
        <v>1028</v>
      </c>
      <c r="N418" t="s">
        <v>1094</v>
      </c>
      <c r="O418" t="s">
        <v>3815</v>
      </c>
      <c r="P418" t="s">
        <v>3816</v>
      </c>
      <c r="Q418" t="s">
        <v>1569</v>
      </c>
      <c r="R418" t="s">
        <v>3061</v>
      </c>
      <c r="S418" t="s">
        <v>3062</v>
      </c>
      <c r="T418" t="s">
        <v>2086</v>
      </c>
    </row>
    <row r="419" spans="1:20">
      <c r="A419" t="s">
        <v>384</v>
      </c>
      <c r="B419" t="s">
        <v>599</v>
      </c>
      <c r="C419" t="s">
        <v>937</v>
      </c>
      <c r="D419" t="s">
        <v>2536</v>
      </c>
      <c r="E419" t="s">
        <v>599</v>
      </c>
      <c r="F419" t="s">
        <v>1093</v>
      </c>
      <c r="G419" t="s">
        <v>599</v>
      </c>
      <c r="H419" t="s">
        <v>3914</v>
      </c>
      <c r="I419" t="s">
        <v>3915</v>
      </c>
      <c r="J419" t="s">
        <v>1260</v>
      </c>
      <c r="K419" t="s">
        <v>757</v>
      </c>
      <c r="L419" t="s">
        <v>2375</v>
      </c>
      <c r="M419" t="s">
        <v>1093</v>
      </c>
      <c r="N419" t="s">
        <v>599</v>
      </c>
      <c r="O419" t="s">
        <v>3914</v>
      </c>
      <c r="P419" t="s">
        <v>3915</v>
      </c>
      <c r="Q419" t="s">
        <v>1260</v>
      </c>
      <c r="R419" t="s">
        <v>757</v>
      </c>
      <c r="S419" t="s">
        <v>2375</v>
      </c>
      <c r="T419" t="s">
        <v>1093</v>
      </c>
    </row>
    <row r="420" spans="1:20">
      <c r="A420" t="s">
        <v>385</v>
      </c>
      <c r="B420" t="s">
        <v>1182</v>
      </c>
      <c r="C420" t="s">
        <v>936</v>
      </c>
      <c r="D420" t="s">
        <v>1812</v>
      </c>
      <c r="E420" t="s">
        <v>1182</v>
      </c>
      <c r="F420" t="s">
        <v>1903</v>
      </c>
      <c r="G420" t="s">
        <v>851</v>
      </c>
      <c r="H420" t="s">
        <v>4111</v>
      </c>
      <c r="I420" t="s">
        <v>4089</v>
      </c>
      <c r="J420" t="s">
        <v>851</v>
      </c>
      <c r="K420" t="s">
        <v>790</v>
      </c>
      <c r="L420" t="s">
        <v>2483</v>
      </c>
      <c r="M420" t="s">
        <v>1903</v>
      </c>
      <c r="N420" t="s">
        <v>851</v>
      </c>
      <c r="O420" t="s">
        <v>4111</v>
      </c>
      <c r="P420" t="s">
        <v>4089</v>
      </c>
      <c r="Q420" t="s">
        <v>851</v>
      </c>
      <c r="R420" t="s">
        <v>790</v>
      </c>
      <c r="S420" t="s">
        <v>2483</v>
      </c>
      <c r="T420" t="s">
        <v>787</v>
      </c>
    </row>
    <row r="421" spans="1:20">
      <c r="A421" t="s">
        <v>386</v>
      </c>
      <c r="B421" t="s">
        <v>2990</v>
      </c>
      <c r="C421" t="s">
        <v>937</v>
      </c>
      <c r="D421" t="s">
        <v>2986</v>
      </c>
      <c r="E421" t="s">
        <v>2990</v>
      </c>
      <c r="F421" t="s">
        <v>3063</v>
      </c>
      <c r="G421" t="s">
        <v>2167</v>
      </c>
      <c r="H421" t="s">
        <v>3916</v>
      </c>
      <c r="I421">
        <v>310.40600000000001</v>
      </c>
      <c r="J421" t="s">
        <v>1570</v>
      </c>
      <c r="K421" t="s">
        <v>770</v>
      </c>
      <c r="L421" t="s">
        <v>881</v>
      </c>
      <c r="M421" t="s">
        <v>3063</v>
      </c>
      <c r="N421" t="s">
        <v>2167</v>
      </c>
      <c r="O421" t="s">
        <v>3916</v>
      </c>
      <c r="P421">
        <v>310.40600000000001</v>
      </c>
      <c r="Q421" t="s">
        <v>1570</v>
      </c>
      <c r="R421" t="s">
        <v>770</v>
      </c>
      <c r="S421" t="s">
        <v>881</v>
      </c>
      <c r="T421" t="s">
        <v>2087</v>
      </c>
    </row>
    <row r="422" spans="1:20">
      <c r="A422" t="s">
        <v>182</v>
      </c>
      <c r="B422" t="s">
        <v>2951</v>
      </c>
      <c r="C422" t="s">
        <v>936</v>
      </c>
      <c r="D422" t="s">
        <v>2958</v>
      </c>
      <c r="E422" t="s">
        <v>2951</v>
      </c>
      <c r="F422" t="s">
        <v>2088</v>
      </c>
      <c r="G422" t="s">
        <v>2089</v>
      </c>
      <c r="H422" t="s">
        <v>3419</v>
      </c>
      <c r="I422">
        <v>164.49100000000001</v>
      </c>
      <c r="J422" t="s">
        <v>1571</v>
      </c>
      <c r="K422" t="s">
        <v>1359</v>
      </c>
      <c r="L422" t="s">
        <v>2459</v>
      </c>
      <c r="M422" t="s">
        <v>2088</v>
      </c>
      <c r="N422" t="s">
        <v>2089</v>
      </c>
      <c r="O422" t="s">
        <v>3419</v>
      </c>
      <c r="P422">
        <v>164.49100000000001</v>
      </c>
      <c r="Q422" t="s">
        <v>1571</v>
      </c>
      <c r="R422" t="s">
        <v>1359</v>
      </c>
      <c r="S422" t="s">
        <v>2459</v>
      </c>
      <c r="T422" t="s">
        <v>1013</v>
      </c>
    </row>
    <row r="423" spans="1:20">
      <c r="A423" t="s">
        <v>387</v>
      </c>
      <c r="B423" t="s">
        <v>1809</v>
      </c>
      <c r="C423" t="s">
        <v>937</v>
      </c>
      <c r="D423" t="s">
        <v>1809</v>
      </c>
      <c r="E423" t="s">
        <v>3126</v>
      </c>
      <c r="F423" t="s">
        <v>729</v>
      </c>
      <c r="G423" t="s">
        <v>3162</v>
      </c>
      <c r="H423" t="s">
        <v>3761</v>
      </c>
      <c r="I423" t="s">
        <v>3762</v>
      </c>
      <c r="J423" t="s">
        <v>1236</v>
      </c>
      <c r="K423" t="s">
        <v>801</v>
      </c>
      <c r="L423" t="s">
        <v>854</v>
      </c>
      <c r="M423" t="s">
        <v>729</v>
      </c>
      <c r="N423" t="s">
        <v>3162</v>
      </c>
      <c r="O423" t="s">
        <v>3761</v>
      </c>
      <c r="P423" t="s">
        <v>3762</v>
      </c>
      <c r="Q423" t="s">
        <v>1236</v>
      </c>
      <c r="R423" t="s">
        <v>801</v>
      </c>
      <c r="S423" t="s">
        <v>854</v>
      </c>
      <c r="T423" t="s">
        <v>778</v>
      </c>
    </row>
    <row r="424" spans="1:20">
      <c r="A424" t="s">
        <v>551</v>
      </c>
      <c r="B424" t="s">
        <v>2516</v>
      </c>
      <c r="C424" t="s">
        <v>937</v>
      </c>
      <c r="D424" t="s">
        <v>2516</v>
      </c>
      <c r="E424" t="s">
        <v>2924</v>
      </c>
      <c r="F424" t="s">
        <v>3014</v>
      </c>
      <c r="G424" t="s">
        <v>1584</v>
      </c>
      <c r="H424" t="s">
        <v>3917</v>
      </c>
      <c r="I424" t="s">
        <v>3918</v>
      </c>
      <c r="J424" t="s">
        <v>550</v>
      </c>
      <c r="K424" t="s">
        <v>570</v>
      </c>
      <c r="L424" t="s">
        <v>1270</v>
      </c>
      <c r="M424" t="s">
        <v>3014</v>
      </c>
      <c r="N424" t="s">
        <v>1584</v>
      </c>
      <c r="O424" t="s">
        <v>3917</v>
      </c>
      <c r="P424" t="s">
        <v>3918</v>
      </c>
      <c r="Q424" t="s">
        <v>550</v>
      </c>
      <c r="R424" t="s">
        <v>570</v>
      </c>
      <c r="S424" t="s">
        <v>1270</v>
      </c>
      <c r="T424" t="s">
        <v>550</v>
      </c>
    </row>
    <row r="425" spans="1:20">
      <c r="A425" t="s">
        <v>388</v>
      </c>
      <c r="B425" t="s">
        <v>2856</v>
      </c>
      <c r="C425" t="s">
        <v>936</v>
      </c>
      <c r="D425" t="s">
        <v>2856</v>
      </c>
      <c r="E425" t="s">
        <v>2301</v>
      </c>
      <c r="F425" t="s">
        <v>1005</v>
      </c>
      <c r="G425" t="s">
        <v>2848</v>
      </c>
      <c r="H425" t="s">
        <v>3501</v>
      </c>
      <c r="I425">
        <v>842.73099999999999</v>
      </c>
      <c r="J425" t="s">
        <v>1572</v>
      </c>
      <c r="K425" t="s">
        <v>920</v>
      </c>
      <c r="L425" t="s">
        <v>2649</v>
      </c>
      <c r="M425" t="s">
        <v>1005</v>
      </c>
      <c r="N425" t="s">
        <v>2848</v>
      </c>
      <c r="O425" t="s">
        <v>3501</v>
      </c>
      <c r="P425">
        <v>842.73099999999999</v>
      </c>
      <c r="Q425" t="s">
        <v>1572</v>
      </c>
      <c r="R425" t="s">
        <v>920</v>
      </c>
      <c r="S425" t="s">
        <v>2649</v>
      </c>
      <c r="T425" t="s">
        <v>797</v>
      </c>
    </row>
    <row r="426" spans="1:20">
      <c r="A426" t="s">
        <v>440</v>
      </c>
      <c r="B426" t="s">
        <v>2090</v>
      </c>
      <c r="C426" t="s">
        <v>938</v>
      </c>
      <c r="D426" t="s">
        <v>2090</v>
      </c>
      <c r="E426" t="s">
        <v>2956</v>
      </c>
      <c r="F426" t="s">
        <v>2090</v>
      </c>
      <c r="G426" t="s">
        <v>2090</v>
      </c>
      <c r="H426" t="s">
        <v>3817</v>
      </c>
      <c r="I426">
        <v>38.15</v>
      </c>
      <c r="J426" t="s">
        <v>992</v>
      </c>
      <c r="K426" t="s">
        <v>799</v>
      </c>
      <c r="L426" t="s">
        <v>861</v>
      </c>
      <c r="M426" t="s">
        <v>2090</v>
      </c>
      <c r="N426" t="s">
        <v>2090</v>
      </c>
      <c r="O426" t="s">
        <v>3817</v>
      </c>
      <c r="P426">
        <v>38.15</v>
      </c>
      <c r="Q426" t="s">
        <v>992</v>
      </c>
      <c r="R426" t="s">
        <v>799</v>
      </c>
      <c r="S426" t="s">
        <v>861</v>
      </c>
      <c r="T426" t="s">
        <v>2090</v>
      </c>
    </row>
    <row r="427" spans="1:20">
      <c r="A427" t="s">
        <v>183</v>
      </c>
      <c r="B427" t="s">
        <v>2952</v>
      </c>
      <c r="C427" t="s">
        <v>937</v>
      </c>
      <c r="D427" t="s">
        <v>2952</v>
      </c>
      <c r="E427" t="s">
        <v>2841</v>
      </c>
      <c r="F427" t="s">
        <v>2302</v>
      </c>
      <c r="G427" t="s">
        <v>1573</v>
      </c>
      <c r="H427" t="s">
        <v>3693</v>
      </c>
      <c r="I427" t="s">
        <v>3694</v>
      </c>
      <c r="J427" t="s">
        <v>1573</v>
      </c>
      <c r="K427" t="s">
        <v>1227</v>
      </c>
      <c r="L427" t="s">
        <v>919</v>
      </c>
      <c r="M427" t="s">
        <v>2302</v>
      </c>
      <c r="N427" t="s">
        <v>1573</v>
      </c>
      <c r="O427" t="s">
        <v>3693</v>
      </c>
      <c r="P427" t="s">
        <v>3694</v>
      </c>
      <c r="Q427" t="s">
        <v>1573</v>
      </c>
      <c r="R427" t="s">
        <v>1227</v>
      </c>
      <c r="S427" t="s">
        <v>919</v>
      </c>
      <c r="T427" t="s">
        <v>2091</v>
      </c>
    </row>
    <row r="428" spans="1:20">
      <c r="A428" t="s">
        <v>389</v>
      </c>
      <c r="B428" t="s">
        <v>2801</v>
      </c>
      <c r="C428" t="s">
        <v>937</v>
      </c>
      <c r="D428" t="s">
        <v>2804</v>
      </c>
      <c r="E428" t="s">
        <v>2801</v>
      </c>
      <c r="F428" t="s">
        <v>1704</v>
      </c>
      <c r="G428" t="s">
        <v>1744</v>
      </c>
      <c r="H428" t="s">
        <v>3346</v>
      </c>
      <c r="I428" t="s">
        <v>3067</v>
      </c>
      <c r="J428" t="s">
        <v>1375</v>
      </c>
      <c r="K428" t="s">
        <v>1170</v>
      </c>
      <c r="L428" t="s">
        <v>2238</v>
      </c>
      <c r="M428" t="s">
        <v>1704</v>
      </c>
      <c r="N428" t="s">
        <v>1744</v>
      </c>
      <c r="O428" t="s">
        <v>3346</v>
      </c>
      <c r="P428" t="s">
        <v>3067</v>
      </c>
      <c r="Q428" t="s">
        <v>1375</v>
      </c>
      <c r="R428" t="s">
        <v>1170</v>
      </c>
      <c r="S428" t="s">
        <v>2238</v>
      </c>
      <c r="T428" t="s">
        <v>1758</v>
      </c>
    </row>
    <row r="429" spans="1:20">
      <c r="A429" t="s">
        <v>184</v>
      </c>
      <c r="B429" t="s">
        <v>3000</v>
      </c>
      <c r="C429" t="s">
        <v>937</v>
      </c>
      <c r="D429" t="s">
        <v>1253</v>
      </c>
      <c r="E429" t="s">
        <v>3000</v>
      </c>
      <c r="F429" t="s">
        <v>1766</v>
      </c>
      <c r="G429" t="s">
        <v>3000</v>
      </c>
      <c r="H429" t="s">
        <v>3919</v>
      </c>
      <c r="I429" t="s">
        <v>3920</v>
      </c>
      <c r="J429" t="s">
        <v>1339</v>
      </c>
      <c r="K429" t="s">
        <v>2298</v>
      </c>
      <c r="L429" t="s">
        <v>807</v>
      </c>
      <c r="M429" t="s">
        <v>1766</v>
      </c>
      <c r="N429" t="s">
        <v>3000</v>
      </c>
      <c r="O429" t="s">
        <v>3919</v>
      </c>
      <c r="P429" t="s">
        <v>3920</v>
      </c>
      <c r="Q429" t="s">
        <v>1339</v>
      </c>
      <c r="R429" t="s">
        <v>2298</v>
      </c>
      <c r="S429" t="s">
        <v>807</v>
      </c>
      <c r="T429" t="s">
        <v>1838</v>
      </c>
    </row>
    <row r="430" spans="1:20">
      <c r="A430" t="s">
        <v>185</v>
      </c>
      <c r="B430" t="s">
        <v>2411</v>
      </c>
      <c r="C430" t="s">
        <v>937</v>
      </c>
      <c r="D430" t="s">
        <v>2815</v>
      </c>
      <c r="E430" t="s">
        <v>2411</v>
      </c>
      <c r="F430" t="s">
        <v>2304</v>
      </c>
      <c r="G430" t="s">
        <v>2305</v>
      </c>
      <c r="H430" t="s">
        <v>3921</v>
      </c>
      <c r="I430">
        <v>392.41500000000002</v>
      </c>
      <c r="J430" t="s">
        <v>1048</v>
      </c>
      <c r="K430" t="s">
        <v>757</v>
      </c>
      <c r="L430" t="s">
        <v>858</v>
      </c>
      <c r="M430" t="s">
        <v>2304</v>
      </c>
      <c r="N430" t="s">
        <v>2305</v>
      </c>
      <c r="O430" t="s">
        <v>3921</v>
      </c>
      <c r="P430">
        <v>392.41500000000002</v>
      </c>
      <c r="Q430" t="s">
        <v>1048</v>
      </c>
      <c r="R430" t="s">
        <v>757</v>
      </c>
      <c r="S430" t="s">
        <v>858</v>
      </c>
      <c r="T430" t="s">
        <v>1048</v>
      </c>
    </row>
    <row r="431" spans="1:20">
      <c r="A431" t="s">
        <v>390</v>
      </c>
      <c r="B431" t="s">
        <v>1766</v>
      </c>
      <c r="C431" t="s">
        <v>937</v>
      </c>
      <c r="D431" t="s">
        <v>1766</v>
      </c>
      <c r="E431" t="s">
        <v>2554</v>
      </c>
      <c r="F431" t="s">
        <v>1014</v>
      </c>
      <c r="G431" t="s">
        <v>2191</v>
      </c>
      <c r="H431" t="s">
        <v>3632</v>
      </c>
      <c r="I431">
        <v>992.71299999999997</v>
      </c>
      <c r="J431" t="s">
        <v>1348</v>
      </c>
      <c r="K431" t="s">
        <v>768</v>
      </c>
      <c r="L431" t="s">
        <v>1248</v>
      </c>
      <c r="M431" t="s">
        <v>1014</v>
      </c>
      <c r="N431" t="s">
        <v>2191</v>
      </c>
      <c r="O431" t="s">
        <v>3632</v>
      </c>
      <c r="P431">
        <v>992.71299999999997</v>
      </c>
      <c r="Q431" t="s">
        <v>1348</v>
      </c>
      <c r="R431" t="s">
        <v>768</v>
      </c>
      <c r="S431" t="s">
        <v>1248</v>
      </c>
      <c r="T431" t="s">
        <v>1341</v>
      </c>
    </row>
    <row r="432" spans="1:20">
      <c r="A432" t="s">
        <v>186</v>
      </c>
      <c r="B432" t="s">
        <v>2638</v>
      </c>
      <c r="C432" t="s">
        <v>937</v>
      </c>
      <c r="D432" t="s">
        <v>2638</v>
      </c>
      <c r="E432" t="s">
        <v>2654</v>
      </c>
      <c r="F432" t="s">
        <v>1651</v>
      </c>
      <c r="G432" t="s">
        <v>2307</v>
      </c>
      <c r="H432" t="s">
        <v>4039</v>
      </c>
      <c r="I432" t="s">
        <v>4040</v>
      </c>
      <c r="J432" t="s">
        <v>1257</v>
      </c>
      <c r="K432" t="s">
        <v>2544</v>
      </c>
      <c r="L432" t="s">
        <v>2749</v>
      </c>
      <c r="M432" t="s">
        <v>1651</v>
      </c>
      <c r="N432" t="s">
        <v>2307</v>
      </c>
      <c r="O432" t="s">
        <v>4039</v>
      </c>
      <c r="P432" t="s">
        <v>4040</v>
      </c>
      <c r="Q432" t="s">
        <v>1257</v>
      </c>
      <c r="R432" t="s">
        <v>2544</v>
      </c>
      <c r="S432" t="s">
        <v>2749</v>
      </c>
      <c r="T432" t="s">
        <v>1865</v>
      </c>
    </row>
    <row r="433" spans="1:20">
      <c r="A433" t="s">
        <v>187</v>
      </c>
      <c r="B433" t="s">
        <v>3006</v>
      </c>
      <c r="C433" t="s">
        <v>937</v>
      </c>
      <c r="D433" t="s">
        <v>3006</v>
      </c>
      <c r="E433" t="s">
        <v>2779</v>
      </c>
      <c r="F433" t="s">
        <v>1627</v>
      </c>
      <c r="G433" t="s">
        <v>1837</v>
      </c>
      <c r="H433" t="s">
        <v>4112</v>
      </c>
      <c r="I433" t="s">
        <v>4090</v>
      </c>
      <c r="J433" t="s">
        <v>1065</v>
      </c>
      <c r="K433" t="s">
        <v>2618</v>
      </c>
      <c r="L433" t="s">
        <v>3121</v>
      </c>
      <c r="M433" t="s">
        <v>1627</v>
      </c>
      <c r="N433" t="s">
        <v>1837</v>
      </c>
      <c r="O433" t="s">
        <v>4112</v>
      </c>
      <c r="P433" t="s">
        <v>4090</v>
      </c>
      <c r="Q433" t="s">
        <v>1065</v>
      </c>
      <c r="R433" t="s">
        <v>2618</v>
      </c>
      <c r="S433" t="s">
        <v>3121</v>
      </c>
      <c r="T433" t="s">
        <v>1065</v>
      </c>
    </row>
    <row r="434" spans="1:20">
      <c r="A434" t="s">
        <v>188</v>
      </c>
      <c r="B434" t="s">
        <v>2432</v>
      </c>
      <c r="C434" t="s">
        <v>937</v>
      </c>
      <c r="E434" t="s">
        <v>2432</v>
      </c>
      <c r="F434" t="s">
        <v>1059</v>
      </c>
      <c r="G434" t="s">
        <v>2432</v>
      </c>
      <c r="H434" t="s">
        <v>3633</v>
      </c>
      <c r="I434" t="s">
        <v>3634</v>
      </c>
      <c r="J434" t="s">
        <v>1081</v>
      </c>
      <c r="K434" t="s">
        <v>2383</v>
      </c>
      <c r="L434" t="s">
        <v>2443</v>
      </c>
      <c r="M434" t="s">
        <v>1059</v>
      </c>
      <c r="N434" t="s">
        <v>2432</v>
      </c>
      <c r="O434" t="s">
        <v>3633</v>
      </c>
      <c r="P434" t="s">
        <v>3634</v>
      </c>
      <c r="Q434" t="s">
        <v>1081</v>
      </c>
      <c r="R434" t="s">
        <v>2383</v>
      </c>
      <c r="S434" t="s">
        <v>2443</v>
      </c>
      <c r="T434" t="s">
        <v>1548</v>
      </c>
    </row>
    <row r="435" spans="1:20">
      <c r="A435" t="s">
        <v>189</v>
      </c>
      <c r="B435" t="s">
        <v>2977</v>
      </c>
      <c r="C435" t="s">
        <v>937</v>
      </c>
      <c r="D435" t="s">
        <v>2977</v>
      </c>
      <c r="E435" t="s">
        <v>1814</v>
      </c>
      <c r="F435" t="s">
        <v>1276</v>
      </c>
      <c r="G435" t="s">
        <v>2310</v>
      </c>
      <c r="H435" t="s">
        <v>3347</v>
      </c>
      <c r="I435">
        <v>407.03300000000002</v>
      </c>
      <c r="J435" t="s">
        <v>559</v>
      </c>
      <c r="K435" t="s">
        <v>2606</v>
      </c>
      <c r="L435" t="s">
        <v>2683</v>
      </c>
      <c r="M435" t="s">
        <v>1276</v>
      </c>
      <c r="N435" t="s">
        <v>2310</v>
      </c>
      <c r="O435" t="s">
        <v>3347</v>
      </c>
      <c r="P435">
        <v>407.03300000000002</v>
      </c>
      <c r="Q435" t="s">
        <v>559</v>
      </c>
      <c r="R435" t="s">
        <v>2606</v>
      </c>
      <c r="S435" t="s">
        <v>2683</v>
      </c>
      <c r="T435" t="s">
        <v>1276</v>
      </c>
    </row>
    <row r="436" spans="1:20">
      <c r="A436" t="s">
        <v>190</v>
      </c>
      <c r="B436" t="s">
        <v>2663</v>
      </c>
      <c r="C436" t="s">
        <v>937</v>
      </c>
      <c r="D436" t="s">
        <v>2800</v>
      </c>
      <c r="E436" t="s">
        <v>2663</v>
      </c>
      <c r="F436" t="s">
        <v>1261</v>
      </c>
      <c r="G436" t="s">
        <v>1855</v>
      </c>
      <c r="H436" t="s">
        <v>3552</v>
      </c>
      <c r="I436" t="s">
        <v>3553</v>
      </c>
      <c r="J436" t="s">
        <v>1124</v>
      </c>
      <c r="K436" t="s">
        <v>1620</v>
      </c>
      <c r="L436" t="s">
        <v>893</v>
      </c>
      <c r="M436" t="s">
        <v>1261</v>
      </c>
      <c r="N436" t="s">
        <v>1855</v>
      </c>
      <c r="O436" t="s">
        <v>3552</v>
      </c>
      <c r="P436" t="s">
        <v>3553</v>
      </c>
      <c r="Q436" t="s">
        <v>1124</v>
      </c>
      <c r="R436" t="s">
        <v>1620</v>
      </c>
      <c r="S436" t="s">
        <v>893</v>
      </c>
      <c r="T436" t="s">
        <v>1855</v>
      </c>
    </row>
    <row r="437" spans="1:20">
      <c r="A437" t="s">
        <v>191</v>
      </c>
      <c r="B437" t="s">
        <v>1455</v>
      </c>
      <c r="C437" t="s">
        <v>936</v>
      </c>
      <c r="D437" t="s">
        <v>2725</v>
      </c>
      <c r="E437" t="s">
        <v>1455</v>
      </c>
      <c r="F437" t="s">
        <v>2376</v>
      </c>
      <c r="G437" t="s">
        <v>1325</v>
      </c>
      <c r="H437" t="s">
        <v>3515</v>
      </c>
      <c r="I437">
        <v>943.125</v>
      </c>
      <c r="J437" t="s">
        <v>1325</v>
      </c>
      <c r="K437" t="s">
        <v>969</v>
      </c>
      <c r="L437" t="s">
        <v>1870</v>
      </c>
      <c r="M437" t="s">
        <v>2376</v>
      </c>
      <c r="N437" t="s">
        <v>1325</v>
      </c>
      <c r="O437" t="s">
        <v>3515</v>
      </c>
      <c r="P437">
        <v>943.125</v>
      </c>
      <c r="Q437" t="s">
        <v>1325</v>
      </c>
      <c r="R437" t="s">
        <v>969</v>
      </c>
      <c r="S437" t="s">
        <v>1870</v>
      </c>
      <c r="T437" t="s">
        <v>1325</v>
      </c>
    </row>
    <row r="438" spans="1:20">
      <c r="A438" t="s">
        <v>192</v>
      </c>
      <c r="B438" t="s">
        <v>3124</v>
      </c>
      <c r="C438" t="s">
        <v>937</v>
      </c>
      <c r="D438" t="s">
        <v>3124</v>
      </c>
      <c r="E438" t="s">
        <v>1678</v>
      </c>
      <c r="F438" t="s">
        <v>1117</v>
      </c>
      <c r="G438" t="s">
        <v>1652</v>
      </c>
      <c r="H438" t="s">
        <v>3733</v>
      </c>
      <c r="I438" t="s">
        <v>3734</v>
      </c>
      <c r="J438" t="s">
        <v>1368</v>
      </c>
      <c r="K438" t="s">
        <v>748</v>
      </c>
      <c r="L438" t="s">
        <v>2478</v>
      </c>
      <c r="M438" t="s">
        <v>1117</v>
      </c>
      <c r="N438" t="s">
        <v>1652</v>
      </c>
      <c r="O438" t="s">
        <v>3733</v>
      </c>
      <c r="P438" t="s">
        <v>3734</v>
      </c>
      <c r="Q438" t="s">
        <v>1368</v>
      </c>
      <c r="R438" t="s">
        <v>748</v>
      </c>
      <c r="S438" t="s">
        <v>2478</v>
      </c>
      <c r="T438" t="s">
        <v>941</v>
      </c>
    </row>
    <row r="439" spans="1:20">
      <c r="A439" t="s">
        <v>193</v>
      </c>
      <c r="B439" t="s">
        <v>2852</v>
      </c>
      <c r="C439" t="s">
        <v>937</v>
      </c>
      <c r="D439" t="s">
        <v>2851</v>
      </c>
      <c r="E439" t="s">
        <v>2852</v>
      </c>
      <c r="F439" t="s">
        <v>1746</v>
      </c>
      <c r="G439" t="s">
        <v>1653</v>
      </c>
      <c r="H439" t="s">
        <v>3516</v>
      </c>
      <c r="I439">
        <v>845.55799999999999</v>
      </c>
      <c r="J439" t="s">
        <v>1060</v>
      </c>
      <c r="K439" t="s">
        <v>776</v>
      </c>
      <c r="L439" t="s">
        <v>2796</v>
      </c>
      <c r="M439" t="s">
        <v>1746</v>
      </c>
      <c r="N439" t="s">
        <v>1653</v>
      </c>
      <c r="O439" t="s">
        <v>3516</v>
      </c>
      <c r="P439">
        <v>845.55799999999999</v>
      </c>
      <c r="Q439" t="s">
        <v>1060</v>
      </c>
      <c r="R439" t="s">
        <v>776</v>
      </c>
      <c r="S439" t="s">
        <v>2796</v>
      </c>
      <c r="T439" t="s">
        <v>1653</v>
      </c>
    </row>
    <row r="440" spans="1:20">
      <c r="A440" t="s">
        <v>391</v>
      </c>
      <c r="B440" t="s">
        <v>3219</v>
      </c>
      <c r="C440" t="s">
        <v>937</v>
      </c>
      <c r="D440" t="s">
        <v>3219</v>
      </c>
      <c r="E440" t="s">
        <v>3182</v>
      </c>
      <c r="F440" t="s">
        <v>1223</v>
      </c>
      <c r="G440" t="s">
        <v>3219</v>
      </c>
      <c r="H440" t="s">
        <v>3582</v>
      </c>
      <c r="I440">
        <v>328.02699999999999</v>
      </c>
      <c r="J440" t="s">
        <v>1187</v>
      </c>
      <c r="K440" t="s">
        <v>2763</v>
      </c>
      <c r="L440" t="s">
        <v>914</v>
      </c>
      <c r="M440" t="s">
        <v>1223</v>
      </c>
      <c r="N440" t="s">
        <v>3219</v>
      </c>
      <c r="O440" t="s">
        <v>3582</v>
      </c>
      <c r="P440">
        <v>328.02699999999999</v>
      </c>
      <c r="Q440" t="s">
        <v>1187</v>
      </c>
      <c r="R440" t="s">
        <v>2763</v>
      </c>
      <c r="S440" t="s">
        <v>914</v>
      </c>
      <c r="T440" t="s">
        <v>1333</v>
      </c>
    </row>
    <row r="441" spans="1:20">
      <c r="A441" t="s">
        <v>392</v>
      </c>
      <c r="B441" t="s">
        <v>1010</v>
      </c>
      <c r="C441" t="s">
        <v>937</v>
      </c>
      <c r="D441" t="s">
        <v>2766</v>
      </c>
      <c r="E441" t="s">
        <v>1010</v>
      </c>
      <c r="F441" t="s">
        <v>2312</v>
      </c>
      <c r="G441" t="s">
        <v>1896</v>
      </c>
      <c r="H441" t="s">
        <v>3818</v>
      </c>
      <c r="I441" t="s">
        <v>3819</v>
      </c>
      <c r="J441" t="s">
        <v>723</v>
      </c>
      <c r="K441" t="s">
        <v>757</v>
      </c>
      <c r="L441" t="s">
        <v>2326</v>
      </c>
      <c r="M441" t="s">
        <v>2312</v>
      </c>
      <c r="N441" t="s">
        <v>1896</v>
      </c>
      <c r="O441" t="s">
        <v>3818</v>
      </c>
      <c r="P441" t="s">
        <v>3819</v>
      </c>
      <c r="Q441" t="s">
        <v>723</v>
      </c>
      <c r="R441" t="s">
        <v>757</v>
      </c>
      <c r="S441" t="s">
        <v>2326</v>
      </c>
      <c r="T441" t="s">
        <v>639</v>
      </c>
    </row>
    <row r="442" spans="1:20">
      <c r="A442" t="s">
        <v>194</v>
      </c>
      <c r="B442" t="s">
        <v>3130</v>
      </c>
      <c r="C442" t="s">
        <v>937</v>
      </c>
      <c r="D442" t="s">
        <v>679</v>
      </c>
      <c r="E442" t="s">
        <v>3130</v>
      </c>
      <c r="F442" t="s">
        <v>2417</v>
      </c>
      <c r="G442" t="s">
        <v>2092</v>
      </c>
      <c r="H442" t="s">
        <v>3348</v>
      </c>
      <c r="I442" t="s">
        <v>3349</v>
      </c>
      <c r="J442" t="s">
        <v>1272</v>
      </c>
      <c r="K442" t="s">
        <v>763</v>
      </c>
      <c r="L442" t="s">
        <v>1270</v>
      </c>
      <c r="M442" t="s">
        <v>2417</v>
      </c>
      <c r="N442" t="s">
        <v>2092</v>
      </c>
      <c r="O442" t="s">
        <v>3348</v>
      </c>
      <c r="P442" t="s">
        <v>3349</v>
      </c>
      <c r="Q442" t="s">
        <v>1272</v>
      </c>
      <c r="R442" t="s">
        <v>763</v>
      </c>
      <c r="S442" t="s">
        <v>1270</v>
      </c>
      <c r="T442" t="s">
        <v>2092</v>
      </c>
    </row>
    <row r="443" spans="1:20">
      <c r="A443" t="s">
        <v>195</v>
      </c>
      <c r="B443" t="s">
        <v>542</v>
      </c>
      <c r="C443" t="s">
        <v>937</v>
      </c>
      <c r="D443" t="s">
        <v>1867</v>
      </c>
      <c r="E443" t="s">
        <v>542</v>
      </c>
      <c r="F443" t="s">
        <v>1943</v>
      </c>
      <c r="G443" t="s">
        <v>1086</v>
      </c>
      <c r="H443" t="s">
        <v>4041</v>
      </c>
      <c r="I443" t="s">
        <v>4042</v>
      </c>
      <c r="J443" t="s">
        <v>1574</v>
      </c>
      <c r="K443" t="s">
        <v>836</v>
      </c>
      <c r="L443" t="s">
        <v>2646</v>
      </c>
      <c r="M443" t="s">
        <v>1943</v>
      </c>
      <c r="N443" t="s">
        <v>1086</v>
      </c>
      <c r="O443" t="s">
        <v>4041</v>
      </c>
      <c r="P443" t="s">
        <v>4042</v>
      </c>
      <c r="Q443" t="s">
        <v>1574</v>
      </c>
      <c r="R443" t="s">
        <v>836</v>
      </c>
      <c r="S443" t="s">
        <v>2646</v>
      </c>
      <c r="T443" t="s">
        <v>1490</v>
      </c>
    </row>
    <row r="444" spans="1:20">
      <c r="A444" t="s">
        <v>196</v>
      </c>
      <c r="B444" t="s">
        <v>1686</v>
      </c>
      <c r="C444" t="s">
        <v>937</v>
      </c>
      <c r="D444" t="s">
        <v>2558</v>
      </c>
      <c r="E444" t="s">
        <v>1686</v>
      </c>
      <c r="F444" t="s">
        <v>1032</v>
      </c>
      <c r="G444" t="s">
        <v>1179</v>
      </c>
      <c r="H444" t="s">
        <v>3350</v>
      </c>
      <c r="I444" t="s">
        <v>3351</v>
      </c>
      <c r="J444" t="s">
        <v>1077</v>
      </c>
      <c r="K444" t="s">
        <v>1255</v>
      </c>
      <c r="L444" t="s">
        <v>1233</v>
      </c>
      <c r="M444" t="s">
        <v>1032</v>
      </c>
      <c r="N444" t="s">
        <v>1179</v>
      </c>
      <c r="O444" t="s">
        <v>3350</v>
      </c>
      <c r="P444" t="s">
        <v>3351</v>
      </c>
      <c r="Q444" t="s">
        <v>1077</v>
      </c>
      <c r="R444" t="s">
        <v>1255</v>
      </c>
      <c r="S444" t="s">
        <v>1233</v>
      </c>
      <c r="T444" t="s">
        <v>826</v>
      </c>
    </row>
    <row r="445" spans="1:20">
      <c r="A445" t="s">
        <v>197</v>
      </c>
      <c r="B445" t="s">
        <v>2994</v>
      </c>
      <c r="C445" t="s">
        <v>937</v>
      </c>
      <c r="D445" t="s">
        <v>2806</v>
      </c>
      <c r="E445" t="s">
        <v>2994</v>
      </c>
      <c r="F445" t="s">
        <v>2354</v>
      </c>
      <c r="G445" t="s">
        <v>1079</v>
      </c>
      <c r="H445" t="s">
        <v>3282</v>
      </c>
      <c r="I445">
        <v>521.01499999999999</v>
      </c>
      <c r="J445" t="s">
        <v>590</v>
      </c>
      <c r="K445" t="s">
        <v>770</v>
      </c>
      <c r="L445" t="s">
        <v>919</v>
      </c>
      <c r="M445" t="s">
        <v>2354</v>
      </c>
      <c r="N445" t="s">
        <v>1079</v>
      </c>
      <c r="O445" t="s">
        <v>3282</v>
      </c>
      <c r="P445">
        <v>521.01499999999999</v>
      </c>
      <c r="Q445" t="s">
        <v>590</v>
      </c>
      <c r="R445" t="s">
        <v>770</v>
      </c>
      <c r="S445" t="s">
        <v>919</v>
      </c>
      <c r="T445" t="s">
        <v>1079</v>
      </c>
    </row>
    <row r="446" spans="1:20">
      <c r="A446" t="s">
        <v>393</v>
      </c>
      <c r="B446" t="s">
        <v>2790</v>
      </c>
      <c r="C446" t="s">
        <v>936</v>
      </c>
      <c r="D446" t="s">
        <v>2265</v>
      </c>
      <c r="E446" t="s">
        <v>2790</v>
      </c>
      <c r="F446" t="s">
        <v>1006</v>
      </c>
      <c r="G446" t="s">
        <v>1473</v>
      </c>
      <c r="H446" t="s">
        <v>3352</v>
      </c>
      <c r="I446" t="s">
        <v>3353</v>
      </c>
      <c r="J446" t="s">
        <v>996</v>
      </c>
      <c r="K446" t="s">
        <v>823</v>
      </c>
      <c r="L446" t="s">
        <v>803</v>
      </c>
      <c r="M446" t="s">
        <v>1006</v>
      </c>
      <c r="N446" t="s">
        <v>1473</v>
      </c>
      <c r="O446" t="s">
        <v>3352</v>
      </c>
      <c r="P446" t="s">
        <v>3353</v>
      </c>
      <c r="Q446" t="s">
        <v>996</v>
      </c>
      <c r="R446" t="s">
        <v>823</v>
      </c>
      <c r="S446" t="s">
        <v>803</v>
      </c>
      <c r="T446" t="s">
        <v>1473</v>
      </c>
    </row>
    <row r="447" spans="1:20">
      <c r="A447" t="s">
        <v>198</v>
      </c>
      <c r="B447" t="s">
        <v>1432</v>
      </c>
      <c r="C447" t="s">
        <v>936</v>
      </c>
      <c r="D447" t="s">
        <v>2745</v>
      </c>
      <c r="E447" t="s">
        <v>2028</v>
      </c>
      <c r="F447" t="s">
        <v>2313</v>
      </c>
      <c r="G447" t="s">
        <v>1939</v>
      </c>
      <c r="H447" t="s">
        <v>4113</v>
      </c>
      <c r="I447" t="s">
        <v>4091</v>
      </c>
      <c r="J447" t="s">
        <v>808</v>
      </c>
      <c r="K447" t="s">
        <v>931</v>
      </c>
      <c r="L447" t="s">
        <v>2794</v>
      </c>
      <c r="M447" t="s">
        <v>2313</v>
      </c>
      <c r="N447" t="s">
        <v>1939</v>
      </c>
      <c r="O447" t="s">
        <v>4113</v>
      </c>
      <c r="P447" t="s">
        <v>4091</v>
      </c>
      <c r="Q447" t="s">
        <v>808</v>
      </c>
      <c r="R447" t="s">
        <v>931</v>
      </c>
      <c r="S447" t="s">
        <v>2794</v>
      </c>
      <c r="T447" t="s">
        <v>808</v>
      </c>
    </row>
    <row r="448" spans="1:20">
      <c r="A448" t="s">
        <v>199</v>
      </c>
      <c r="B448" t="s">
        <v>2124</v>
      </c>
      <c r="C448" t="s">
        <v>937</v>
      </c>
      <c r="D448" t="s">
        <v>2793</v>
      </c>
      <c r="E448" t="s">
        <v>2124</v>
      </c>
      <c r="F448" t="s">
        <v>1026</v>
      </c>
      <c r="G448" t="s">
        <v>2735</v>
      </c>
      <c r="H448" t="s">
        <v>3354</v>
      </c>
      <c r="I448" t="s">
        <v>3355</v>
      </c>
      <c r="J448" t="s">
        <v>1575</v>
      </c>
      <c r="K448" t="s">
        <v>848</v>
      </c>
      <c r="L448" t="s">
        <v>2670</v>
      </c>
      <c r="M448" t="s">
        <v>1026</v>
      </c>
      <c r="N448" t="s">
        <v>2735</v>
      </c>
      <c r="O448" t="s">
        <v>3354</v>
      </c>
      <c r="P448" t="s">
        <v>3355</v>
      </c>
      <c r="Q448" t="s">
        <v>1575</v>
      </c>
      <c r="R448" t="s">
        <v>848</v>
      </c>
      <c r="S448" t="s">
        <v>2670</v>
      </c>
      <c r="T448" t="s">
        <v>1582</v>
      </c>
    </row>
    <row r="449" spans="1:20">
      <c r="A449" t="s">
        <v>200</v>
      </c>
      <c r="B449" t="s">
        <v>3164</v>
      </c>
      <c r="C449" t="s">
        <v>936</v>
      </c>
      <c r="D449" t="s">
        <v>3175</v>
      </c>
      <c r="E449" t="s">
        <v>3164</v>
      </c>
      <c r="F449" t="s">
        <v>1643</v>
      </c>
      <c r="G449" t="s">
        <v>3175</v>
      </c>
      <c r="H449" t="s">
        <v>4043</v>
      </c>
      <c r="I449" t="s">
        <v>4044</v>
      </c>
      <c r="J449" t="s">
        <v>1298</v>
      </c>
      <c r="K449" t="s">
        <v>2629</v>
      </c>
      <c r="L449" t="s">
        <v>2773</v>
      </c>
      <c r="M449" t="s">
        <v>1643</v>
      </c>
      <c r="N449" t="s">
        <v>3175</v>
      </c>
      <c r="O449" t="s">
        <v>4043</v>
      </c>
      <c r="P449" t="s">
        <v>4044</v>
      </c>
      <c r="Q449" t="s">
        <v>1298</v>
      </c>
      <c r="R449" t="s">
        <v>2629</v>
      </c>
      <c r="S449" t="s">
        <v>2773</v>
      </c>
      <c r="T449" t="s">
        <v>1686</v>
      </c>
    </row>
    <row r="450" spans="1:20">
      <c r="A450" t="s">
        <v>201</v>
      </c>
      <c r="B450" t="s">
        <v>2315</v>
      </c>
      <c r="C450" t="s">
        <v>936</v>
      </c>
      <c r="D450" t="s">
        <v>2316</v>
      </c>
      <c r="E450" t="s">
        <v>2315</v>
      </c>
      <c r="F450" t="s">
        <v>1656</v>
      </c>
      <c r="G450" t="s">
        <v>2317</v>
      </c>
      <c r="H450" t="s">
        <v>3517</v>
      </c>
      <c r="I450" t="s">
        <v>3518</v>
      </c>
      <c r="J450" t="s">
        <v>671</v>
      </c>
      <c r="K450" t="s">
        <v>760</v>
      </c>
      <c r="L450" t="s">
        <v>2318</v>
      </c>
      <c r="M450" t="s">
        <v>1656</v>
      </c>
      <c r="N450" t="s">
        <v>2317</v>
      </c>
      <c r="O450" t="s">
        <v>3517</v>
      </c>
      <c r="P450" t="s">
        <v>3518</v>
      </c>
      <c r="Q450" t="s">
        <v>671</v>
      </c>
      <c r="R450" t="s">
        <v>760</v>
      </c>
      <c r="S450" t="s">
        <v>2318</v>
      </c>
      <c r="T450" t="s">
        <v>1825</v>
      </c>
    </row>
    <row r="451" spans="1:20">
      <c r="A451" t="s">
        <v>202</v>
      </c>
      <c r="B451" t="s">
        <v>2429</v>
      </c>
      <c r="C451" t="s">
        <v>937</v>
      </c>
      <c r="D451" t="s">
        <v>1329</v>
      </c>
      <c r="E451" t="s">
        <v>2429</v>
      </c>
      <c r="F451" t="s">
        <v>2319</v>
      </c>
      <c r="G451" t="s">
        <v>2093</v>
      </c>
      <c r="H451" t="s">
        <v>3356</v>
      </c>
      <c r="I451" t="s">
        <v>3357</v>
      </c>
      <c r="J451" t="s">
        <v>1576</v>
      </c>
      <c r="K451" t="s">
        <v>895</v>
      </c>
      <c r="L451" t="s">
        <v>2748</v>
      </c>
      <c r="M451" t="s">
        <v>2319</v>
      </c>
      <c r="N451" t="s">
        <v>2093</v>
      </c>
      <c r="O451" t="s">
        <v>3356</v>
      </c>
      <c r="P451" t="s">
        <v>3357</v>
      </c>
      <c r="Q451" t="s">
        <v>1576</v>
      </c>
      <c r="R451" t="s">
        <v>895</v>
      </c>
      <c r="S451" t="s">
        <v>2748</v>
      </c>
      <c r="T451" t="s">
        <v>1576</v>
      </c>
    </row>
    <row r="452" spans="1:20">
      <c r="A452" t="s">
        <v>394</v>
      </c>
      <c r="B452" t="s">
        <v>945</v>
      </c>
      <c r="C452" t="s">
        <v>937</v>
      </c>
      <c r="D452" t="s">
        <v>945</v>
      </c>
      <c r="E452" t="s">
        <v>2716</v>
      </c>
      <c r="F452" t="s">
        <v>1769</v>
      </c>
      <c r="G452" t="s">
        <v>2714</v>
      </c>
      <c r="H452" t="s">
        <v>3358</v>
      </c>
      <c r="I452">
        <v>241.14599999999999</v>
      </c>
      <c r="J452" t="s">
        <v>1142</v>
      </c>
      <c r="K452" t="s">
        <v>799</v>
      </c>
      <c r="L452" t="s">
        <v>2518</v>
      </c>
      <c r="M452" t="s">
        <v>1769</v>
      </c>
      <c r="N452" t="s">
        <v>2714</v>
      </c>
      <c r="O452" t="s">
        <v>3358</v>
      </c>
      <c r="P452">
        <v>241.14599999999999</v>
      </c>
      <c r="Q452" t="s">
        <v>1142</v>
      </c>
      <c r="R452" t="s">
        <v>799</v>
      </c>
      <c r="S452" t="s">
        <v>2518</v>
      </c>
      <c r="T452" t="s">
        <v>1850</v>
      </c>
    </row>
    <row r="453" spans="1:20">
      <c r="A453" t="s">
        <v>395</v>
      </c>
      <c r="B453" t="s">
        <v>2084</v>
      </c>
      <c r="C453" t="s">
        <v>936</v>
      </c>
      <c r="D453" t="s">
        <v>2344</v>
      </c>
      <c r="E453" t="s">
        <v>2084</v>
      </c>
      <c r="F453" t="s">
        <v>1446</v>
      </c>
      <c r="G453" t="s">
        <v>1489</v>
      </c>
      <c r="H453" t="s">
        <v>3420</v>
      </c>
      <c r="I453" t="s">
        <v>3421</v>
      </c>
      <c r="J453" t="s">
        <v>1472</v>
      </c>
      <c r="K453" t="s">
        <v>760</v>
      </c>
      <c r="L453" t="s">
        <v>1689</v>
      </c>
      <c r="M453" t="s">
        <v>1446</v>
      </c>
      <c r="N453" t="s">
        <v>1489</v>
      </c>
      <c r="O453" t="s">
        <v>3420</v>
      </c>
      <c r="P453" t="s">
        <v>3421</v>
      </c>
      <c r="Q453" t="s">
        <v>1472</v>
      </c>
      <c r="R453" t="s">
        <v>760</v>
      </c>
      <c r="S453" t="s">
        <v>1689</v>
      </c>
      <c r="T453" t="s">
        <v>1472</v>
      </c>
    </row>
    <row r="454" spans="1:20">
      <c r="A454" t="s">
        <v>396</v>
      </c>
      <c r="B454" t="s">
        <v>2619</v>
      </c>
      <c r="C454" t="s">
        <v>936</v>
      </c>
      <c r="D454" t="s">
        <v>2619</v>
      </c>
      <c r="E454" t="s">
        <v>1385</v>
      </c>
      <c r="F454" t="s">
        <v>912</v>
      </c>
      <c r="G454" t="s">
        <v>1712</v>
      </c>
      <c r="H454" t="s">
        <v>3429</v>
      </c>
      <c r="I454" t="s">
        <v>3430</v>
      </c>
      <c r="J454" t="s">
        <v>1183</v>
      </c>
      <c r="K454" t="s">
        <v>842</v>
      </c>
      <c r="L454" t="s">
        <v>844</v>
      </c>
      <c r="M454" t="s">
        <v>912</v>
      </c>
      <c r="N454" t="s">
        <v>1712</v>
      </c>
      <c r="O454" t="s">
        <v>3429</v>
      </c>
      <c r="P454" t="s">
        <v>3430</v>
      </c>
      <c r="Q454" t="s">
        <v>1183</v>
      </c>
      <c r="R454" t="s">
        <v>842</v>
      </c>
      <c r="S454" t="s">
        <v>844</v>
      </c>
      <c r="T454" t="s">
        <v>1712</v>
      </c>
    </row>
    <row r="455" spans="1:20">
      <c r="A455" t="s">
        <v>397</v>
      </c>
      <c r="B455" t="s">
        <v>1083</v>
      </c>
      <c r="C455" t="s">
        <v>937</v>
      </c>
      <c r="D455" t="s">
        <v>2859</v>
      </c>
      <c r="E455" t="s">
        <v>1083</v>
      </c>
      <c r="F455" t="s">
        <v>1657</v>
      </c>
      <c r="G455" t="s">
        <v>2859</v>
      </c>
      <c r="H455" t="s">
        <v>3922</v>
      </c>
      <c r="I455" t="s">
        <v>3923</v>
      </c>
      <c r="J455" t="s">
        <v>682</v>
      </c>
      <c r="K455" t="s">
        <v>2539</v>
      </c>
      <c r="L455" t="s">
        <v>2668</v>
      </c>
      <c r="M455" t="s">
        <v>1657</v>
      </c>
      <c r="N455" t="s">
        <v>2859</v>
      </c>
      <c r="O455" t="s">
        <v>3922</v>
      </c>
      <c r="P455" t="s">
        <v>3923</v>
      </c>
      <c r="Q455" t="s">
        <v>682</v>
      </c>
      <c r="R455" t="s">
        <v>2539</v>
      </c>
      <c r="S455" t="s">
        <v>2668</v>
      </c>
      <c r="T455" t="s">
        <v>682</v>
      </c>
    </row>
    <row r="456" spans="1:20">
      <c r="A456" t="s">
        <v>203</v>
      </c>
      <c r="B456" t="s">
        <v>2657</v>
      </c>
      <c r="C456" t="s">
        <v>937</v>
      </c>
      <c r="D456" t="s">
        <v>1377</v>
      </c>
      <c r="E456" t="s">
        <v>2657</v>
      </c>
      <c r="F456" t="s">
        <v>988</v>
      </c>
      <c r="G456" t="s">
        <v>662</v>
      </c>
      <c r="H456" t="s">
        <v>3924</v>
      </c>
      <c r="I456" t="s">
        <v>3925</v>
      </c>
      <c r="J456" t="s">
        <v>868</v>
      </c>
      <c r="K456" t="s">
        <v>772</v>
      </c>
      <c r="L456" t="s">
        <v>2502</v>
      </c>
      <c r="M456" t="s">
        <v>988</v>
      </c>
      <c r="N456" t="s">
        <v>662</v>
      </c>
      <c r="O456" t="s">
        <v>3924</v>
      </c>
      <c r="P456" t="s">
        <v>3925</v>
      </c>
      <c r="Q456" t="s">
        <v>868</v>
      </c>
      <c r="R456" t="s">
        <v>772</v>
      </c>
      <c r="S456" t="s">
        <v>2502</v>
      </c>
      <c r="T456" t="s">
        <v>2025</v>
      </c>
    </row>
    <row r="457" spans="1:20">
      <c r="A457" t="s">
        <v>398</v>
      </c>
      <c r="B457" t="s">
        <v>2644</v>
      </c>
      <c r="C457" t="s">
        <v>937</v>
      </c>
      <c r="D457" t="s">
        <v>1577</v>
      </c>
      <c r="E457" t="s">
        <v>2644</v>
      </c>
      <c r="F457" t="s">
        <v>2094</v>
      </c>
      <c r="G457" t="s">
        <v>3027</v>
      </c>
      <c r="H457" t="s">
        <v>4045</v>
      </c>
      <c r="I457" t="s">
        <v>4046</v>
      </c>
      <c r="J457" t="s">
        <v>1052</v>
      </c>
      <c r="K457" t="s">
        <v>765</v>
      </c>
      <c r="L457" t="s">
        <v>553</v>
      </c>
      <c r="M457" t="s">
        <v>2094</v>
      </c>
      <c r="N457" t="s">
        <v>3027</v>
      </c>
      <c r="O457" t="s">
        <v>4045</v>
      </c>
      <c r="P457" t="s">
        <v>4046</v>
      </c>
      <c r="Q457" t="s">
        <v>1052</v>
      </c>
      <c r="R457" t="s">
        <v>765</v>
      </c>
      <c r="S457" t="s">
        <v>553</v>
      </c>
      <c r="T457" t="s">
        <v>1136</v>
      </c>
    </row>
    <row r="458" spans="1:20">
      <c r="A458" t="s">
        <v>399</v>
      </c>
      <c r="B458" t="s">
        <v>732</v>
      </c>
      <c r="C458" t="s">
        <v>937</v>
      </c>
      <c r="D458" t="s">
        <v>732</v>
      </c>
      <c r="E458" t="s">
        <v>2547</v>
      </c>
      <c r="F458" t="s">
        <v>1867</v>
      </c>
      <c r="G458" t="s">
        <v>830</v>
      </c>
      <c r="H458" t="s">
        <v>4047</v>
      </c>
      <c r="I458" t="s">
        <v>4048</v>
      </c>
      <c r="J458" t="s">
        <v>830</v>
      </c>
      <c r="K458" t="s">
        <v>866</v>
      </c>
      <c r="L458" t="s">
        <v>872</v>
      </c>
      <c r="M458" t="s">
        <v>1867</v>
      </c>
      <c r="N458" t="s">
        <v>830</v>
      </c>
      <c r="O458" t="s">
        <v>4047</v>
      </c>
      <c r="P458" t="s">
        <v>4048</v>
      </c>
      <c r="Q458" t="s">
        <v>830</v>
      </c>
      <c r="R458" t="s">
        <v>866</v>
      </c>
      <c r="S458" t="s">
        <v>872</v>
      </c>
      <c r="T458" t="s">
        <v>830</v>
      </c>
    </row>
    <row r="459" spans="1:20">
      <c r="A459" t="s">
        <v>400</v>
      </c>
      <c r="B459" t="s">
        <v>666</v>
      </c>
      <c r="C459" t="s">
        <v>937</v>
      </c>
      <c r="D459" t="s">
        <v>2708</v>
      </c>
      <c r="E459" t="s">
        <v>666</v>
      </c>
      <c r="F459" t="s">
        <v>1637</v>
      </c>
      <c r="G459" t="s">
        <v>1640</v>
      </c>
      <c r="H459" t="s">
        <v>4049</v>
      </c>
      <c r="I459" t="s">
        <v>4050</v>
      </c>
      <c r="J459" t="s">
        <v>612</v>
      </c>
      <c r="K459" t="s">
        <v>773</v>
      </c>
      <c r="L459" t="s">
        <v>763</v>
      </c>
      <c r="M459" t="s">
        <v>1637</v>
      </c>
      <c r="N459" t="s">
        <v>1640</v>
      </c>
      <c r="O459" t="s">
        <v>4049</v>
      </c>
      <c r="P459" t="s">
        <v>4050</v>
      </c>
      <c r="Q459" t="s">
        <v>612</v>
      </c>
      <c r="R459" t="s">
        <v>773</v>
      </c>
      <c r="S459" t="s">
        <v>763</v>
      </c>
      <c r="T459" t="s">
        <v>1658</v>
      </c>
    </row>
    <row r="460" spans="1:20">
      <c r="A460" t="s">
        <v>441</v>
      </c>
      <c r="B460" t="s">
        <v>3138</v>
      </c>
      <c r="C460" t="s">
        <v>936</v>
      </c>
      <c r="D460" t="s">
        <v>3144</v>
      </c>
      <c r="E460" t="s">
        <v>3138</v>
      </c>
      <c r="F460" t="s">
        <v>2095</v>
      </c>
      <c r="G460" t="s">
        <v>1094</v>
      </c>
      <c r="H460" t="s">
        <v>3283</v>
      </c>
      <c r="I460">
        <v>46.621000000000002</v>
      </c>
      <c r="J460" t="s">
        <v>1299</v>
      </c>
      <c r="K460" t="s">
        <v>757</v>
      </c>
      <c r="L460" t="s">
        <v>772</v>
      </c>
      <c r="M460" t="s">
        <v>2095</v>
      </c>
      <c r="N460" t="s">
        <v>1094</v>
      </c>
      <c r="O460" t="s">
        <v>3283</v>
      </c>
      <c r="P460">
        <v>46.621000000000002</v>
      </c>
      <c r="Q460" t="s">
        <v>1299</v>
      </c>
      <c r="R460" t="s">
        <v>757</v>
      </c>
      <c r="S460" t="s">
        <v>772</v>
      </c>
      <c r="T460" t="s">
        <v>1299</v>
      </c>
    </row>
    <row r="461" spans="1:20">
      <c r="A461" t="s">
        <v>204</v>
      </c>
      <c r="B461" t="s">
        <v>2992</v>
      </c>
      <c r="C461" t="s">
        <v>937</v>
      </c>
      <c r="D461" t="s">
        <v>2880</v>
      </c>
      <c r="E461" t="s">
        <v>2992</v>
      </c>
      <c r="F461" t="s">
        <v>3034</v>
      </c>
      <c r="G461" t="s">
        <v>2139</v>
      </c>
      <c r="H461" t="s">
        <v>3820</v>
      </c>
      <c r="I461">
        <v>70.17</v>
      </c>
      <c r="J461" t="s">
        <v>1186</v>
      </c>
      <c r="K461" t="s">
        <v>893</v>
      </c>
      <c r="L461" t="s">
        <v>1168</v>
      </c>
      <c r="M461" t="s">
        <v>3034</v>
      </c>
      <c r="N461" t="s">
        <v>2139</v>
      </c>
      <c r="O461" t="s">
        <v>3820</v>
      </c>
      <c r="P461">
        <v>70.17</v>
      </c>
      <c r="Q461" t="s">
        <v>1186</v>
      </c>
      <c r="R461" t="s">
        <v>893</v>
      </c>
      <c r="S461" t="s">
        <v>1168</v>
      </c>
      <c r="T461" t="s">
        <v>1235</v>
      </c>
    </row>
    <row r="462" spans="1:20">
      <c r="A462" t="s">
        <v>401</v>
      </c>
      <c r="B462" t="s">
        <v>3085</v>
      </c>
      <c r="C462" t="s">
        <v>936</v>
      </c>
      <c r="D462" t="s">
        <v>3085</v>
      </c>
      <c r="E462" t="s">
        <v>1359</v>
      </c>
      <c r="F462" t="s">
        <v>1782</v>
      </c>
      <c r="G462" t="s">
        <v>2096</v>
      </c>
      <c r="H462" t="s">
        <v>3735</v>
      </c>
      <c r="I462" t="s">
        <v>3736</v>
      </c>
      <c r="J462" t="s">
        <v>1007</v>
      </c>
      <c r="K462" t="s">
        <v>878</v>
      </c>
      <c r="L462" t="s">
        <v>2642</v>
      </c>
      <c r="M462" t="s">
        <v>1782</v>
      </c>
      <c r="N462" t="s">
        <v>2096</v>
      </c>
      <c r="O462" t="s">
        <v>3735</v>
      </c>
      <c r="P462" t="s">
        <v>3736</v>
      </c>
      <c r="Q462" t="s">
        <v>1007</v>
      </c>
      <c r="R462" t="s">
        <v>878</v>
      </c>
      <c r="S462" t="s">
        <v>2642</v>
      </c>
      <c r="T462" t="s">
        <v>1793</v>
      </c>
    </row>
    <row r="463" spans="1:20">
      <c r="A463" t="s">
        <v>402</v>
      </c>
      <c r="B463" t="s">
        <v>3098</v>
      </c>
      <c r="C463" t="s">
        <v>937</v>
      </c>
      <c r="D463" t="s">
        <v>1050</v>
      </c>
      <c r="E463" t="s">
        <v>3098</v>
      </c>
      <c r="F463" t="s">
        <v>1663</v>
      </c>
      <c r="G463" t="s">
        <v>1337</v>
      </c>
      <c r="H463" t="s">
        <v>4051</v>
      </c>
      <c r="I463" t="s">
        <v>4052</v>
      </c>
      <c r="J463" t="s">
        <v>1334</v>
      </c>
      <c r="K463" t="s">
        <v>902</v>
      </c>
      <c r="L463" t="s">
        <v>2589</v>
      </c>
      <c r="M463" t="s">
        <v>1663</v>
      </c>
      <c r="N463" t="s">
        <v>1337</v>
      </c>
      <c r="O463" t="s">
        <v>4051</v>
      </c>
      <c r="P463" t="s">
        <v>4052</v>
      </c>
      <c r="Q463" t="s">
        <v>1334</v>
      </c>
      <c r="R463" t="s">
        <v>902</v>
      </c>
      <c r="S463" t="s">
        <v>2589</v>
      </c>
      <c r="T463" t="s">
        <v>1159</v>
      </c>
    </row>
    <row r="464" spans="1:20">
      <c r="A464" t="s">
        <v>403</v>
      </c>
      <c r="B464" t="s">
        <v>2400</v>
      </c>
      <c r="C464" t="s">
        <v>937</v>
      </c>
      <c r="D464" t="s">
        <v>2663</v>
      </c>
      <c r="E464" t="s">
        <v>2400</v>
      </c>
      <c r="F464" t="s">
        <v>1347</v>
      </c>
      <c r="G464" t="s">
        <v>546</v>
      </c>
      <c r="H464" t="s">
        <v>3359</v>
      </c>
      <c r="I464">
        <v>852.21799999999996</v>
      </c>
      <c r="J464" t="s">
        <v>628</v>
      </c>
      <c r="K464" t="s">
        <v>842</v>
      </c>
      <c r="L464" t="s">
        <v>1213</v>
      </c>
      <c r="M464" t="s">
        <v>1347</v>
      </c>
      <c r="N464" t="s">
        <v>546</v>
      </c>
      <c r="O464" t="s">
        <v>3359</v>
      </c>
      <c r="P464">
        <v>852.21799999999996</v>
      </c>
      <c r="Q464" t="s">
        <v>628</v>
      </c>
      <c r="R464" t="s">
        <v>842</v>
      </c>
      <c r="S464" t="s">
        <v>1213</v>
      </c>
      <c r="T464" t="s">
        <v>628</v>
      </c>
    </row>
    <row r="465" spans="1:20">
      <c r="A465" t="s">
        <v>404</v>
      </c>
      <c r="B465" t="s">
        <v>1920</v>
      </c>
      <c r="C465" t="s">
        <v>936</v>
      </c>
      <c r="D465" t="s">
        <v>1919</v>
      </c>
      <c r="E465" t="s">
        <v>1920</v>
      </c>
      <c r="F465" t="s">
        <v>2321</v>
      </c>
      <c r="G465" t="s">
        <v>1659</v>
      </c>
      <c r="H465" t="s">
        <v>3926</v>
      </c>
      <c r="I465" t="s">
        <v>3927</v>
      </c>
      <c r="J465" t="s">
        <v>1192</v>
      </c>
      <c r="K465" t="s">
        <v>783</v>
      </c>
      <c r="L465" t="s">
        <v>2796</v>
      </c>
      <c r="M465" t="s">
        <v>2321</v>
      </c>
      <c r="N465" t="s">
        <v>1659</v>
      </c>
      <c r="O465" t="s">
        <v>3926</v>
      </c>
      <c r="P465" t="s">
        <v>3927</v>
      </c>
      <c r="Q465" t="s">
        <v>1192</v>
      </c>
      <c r="R465" t="s">
        <v>783</v>
      </c>
      <c r="S465" t="s">
        <v>2796</v>
      </c>
      <c r="T465" t="s">
        <v>1225</v>
      </c>
    </row>
    <row r="466" spans="1:20">
      <c r="A466" t="s">
        <v>405</v>
      </c>
      <c r="B466" t="s">
        <v>3012</v>
      </c>
      <c r="C466" t="s">
        <v>936</v>
      </c>
      <c r="D466" t="s">
        <v>2917</v>
      </c>
      <c r="E466" t="s">
        <v>3012</v>
      </c>
      <c r="F466" t="s">
        <v>2907</v>
      </c>
      <c r="G466" t="s">
        <v>2322</v>
      </c>
      <c r="H466" t="s">
        <v>3502</v>
      </c>
      <c r="I466">
        <v>229.55500000000001</v>
      </c>
      <c r="J466" t="s">
        <v>1578</v>
      </c>
      <c r="K466" t="s">
        <v>1212</v>
      </c>
      <c r="L466" t="s">
        <v>2225</v>
      </c>
      <c r="M466" t="s">
        <v>2907</v>
      </c>
      <c r="N466" t="s">
        <v>2322</v>
      </c>
      <c r="O466" t="s">
        <v>3502</v>
      </c>
      <c r="P466">
        <v>229.55500000000001</v>
      </c>
      <c r="Q466" t="s">
        <v>1578</v>
      </c>
      <c r="R466" t="s">
        <v>1212</v>
      </c>
      <c r="S466" t="s">
        <v>2225</v>
      </c>
      <c r="T466" t="s">
        <v>1858</v>
      </c>
    </row>
    <row r="467" spans="1:20">
      <c r="A467" t="s">
        <v>406</v>
      </c>
      <c r="B467" t="s">
        <v>588</v>
      </c>
      <c r="C467" t="s">
        <v>936</v>
      </c>
      <c r="D467" t="s">
        <v>1765</v>
      </c>
      <c r="E467" t="s">
        <v>588</v>
      </c>
      <c r="F467" t="s">
        <v>1790</v>
      </c>
      <c r="G467" t="s">
        <v>656</v>
      </c>
      <c r="H467" t="s">
        <v>4053</v>
      </c>
      <c r="I467" t="s">
        <v>4054</v>
      </c>
      <c r="J467" t="s">
        <v>1579</v>
      </c>
      <c r="K467" t="s">
        <v>842</v>
      </c>
      <c r="L467" t="s">
        <v>756</v>
      </c>
      <c r="M467" t="s">
        <v>1790</v>
      </c>
      <c r="N467" t="s">
        <v>656</v>
      </c>
      <c r="O467" t="s">
        <v>4053</v>
      </c>
      <c r="P467" t="s">
        <v>4054</v>
      </c>
      <c r="Q467" t="s">
        <v>1579</v>
      </c>
      <c r="R467" t="s">
        <v>842</v>
      </c>
      <c r="S467" t="s">
        <v>756</v>
      </c>
      <c r="T467" t="s">
        <v>1579</v>
      </c>
    </row>
    <row r="468" spans="1:20">
      <c r="A468" t="s">
        <v>205</v>
      </c>
      <c r="B468" t="s">
        <v>2835</v>
      </c>
      <c r="C468" t="s">
        <v>936</v>
      </c>
      <c r="D468" t="s">
        <v>1876</v>
      </c>
      <c r="E468" t="s">
        <v>2835</v>
      </c>
      <c r="F468" t="s">
        <v>2392</v>
      </c>
      <c r="G468" t="s">
        <v>1520</v>
      </c>
      <c r="H468" t="s">
        <v>3763</v>
      </c>
      <c r="I468" t="s">
        <v>3764</v>
      </c>
      <c r="J468" t="s">
        <v>1520</v>
      </c>
      <c r="K468" t="s">
        <v>775</v>
      </c>
      <c r="L468" t="s">
        <v>2586</v>
      </c>
      <c r="M468" t="s">
        <v>2392</v>
      </c>
      <c r="N468" t="s">
        <v>1520</v>
      </c>
      <c r="O468" t="s">
        <v>3763</v>
      </c>
      <c r="P468" t="s">
        <v>3764</v>
      </c>
      <c r="Q468" t="s">
        <v>1520</v>
      </c>
      <c r="R468" t="s">
        <v>775</v>
      </c>
      <c r="S468" t="s">
        <v>2586</v>
      </c>
      <c r="T468" t="s">
        <v>1520</v>
      </c>
    </row>
    <row r="469" spans="1:20">
      <c r="A469" t="s">
        <v>206</v>
      </c>
      <c r="B469" t="s">
        <v>1660</v>
      </c>
      <c r="C469" t="s">
        <v>936</v>
      </c>
      <c r="D469" t="s">
        <v>3086</v>
      </c>
      <c r="E469" t="s">
        <v>1660</v>
      </c>
      <c r="F469" t="s">
        <v>1595</v>
      </c>
      <c r="G469" t="s">
        <v>2159</v>
      </c>
      <c r="H469" t="s">
        <v>3635</v>
      </c>
      <c r="I469" t="s">
        <v>3636</v>
      </c>
      <c r="J469" t="s">
        <v>1193</v>
      </c>
      <c r="K469" t="s">
        <v>955</v>
      </c>
      <c r="L469" t="s">
        <v>770</v>
      </c>
      <c r="M469" t="s">
        <v>1595</v>
      </c>
      <c r="N469" t="s">
        <v>2159</v>
      </c>
      <c r="O469" t="s">
        <v>3635</v>
      </c>
      <c r="P469" t="s">
        <v>3636</v>
      </c>
      <c r="Q469" t="s">
        <v>1193</v>
      </c>
      <c r="R469" t="s">
        <v>955</v>
      </c>
      <c r="S469" t="s">
        <v>770</v>
      </c>
      <c r="T469" t="s">
        <v>1660</v>
      </c>
    </row>
    <row r="470" spans="1:20">
      <c r="A470" t="s">
        <v>207</v>
      </c>
      <c r="B470" t="s">
        <v>2919</v>
      </c>
      <c r="C470" t="s">
        <v>936</v>
      </c>
      <c r="D470" t="s">
        <v>2919</v>
      </c>
      <c r="E470" t="s">
        <v>2976</v>
      </c>
      <c r="F470" t="s">
        <v>1662</v>
      </c>
      <c r="G470" t="s">
        <v>1901</v>
      </c>
      <c r="H470" t="s">
        <v>4114</v>
      </c>
      <c r="I470" t="s">
        <v>4092</v>
      </c>
      <c r="J470" t="s">
        <v>734</v>
      </c>
      <c r="K470" t="s">
        <v>2556</v>
      </c>
      <c r="L470" t="s">
        <v>2476</v>
      </c>
      <c r="M470" t="s">
        <v>1662</v>
      </c>
      <c r="N470" t="s">
        <v>1901</v>
      </c>
      <c r="O470" t="s">
        <v>4114</v>
      </c>
      <c r="P470" t="s">
        <v>4092</v>
      </c>
      <c r="Q470" t="s">
        <v>734</v>
      </c>
      <c r="R470" t="s">
        <v>2556</v>
      </c>
      <c r="S470" t="s">
        <v>2476</v>
      </c>
      <c r="T470" t="s">
        <v>1768</v>
      </c>
    </row>
    <row r="471" spans="1:20">
      <c r="A471" t="s">
        <v>407</v>
      </c>
      <c r="B471" t="s">
        <v>1832</v>
      </c>
      <c r="C471" t="s">
        <v>937</v>
      </c>
      <c r="D471" t="s">
        <v>1832</v>
      </c>
      <c r="E471" t="s">
        <v>2450</v>
      </c>
      <c r="F471" t="s">
        <v>548</v>
      </c>
      <c r="G471" t="s">
        <v>1832</v>
      </c>
      <c r="H471" t="s">
        <v>4115</v>
      </c>
      <c r="I471" t="s">
        <v>4093</v>
      </c>
      <c r="J471" t="s">
        <v>565</v>
      </c>
      <c r="K471" t="s">
        <v>764</v>
      </c>
      <c r="L471" t="s">
        <v>2797</v>
      </c>
      <c r="M471" t="s">
        <v>548</v>
      </c>
      <c r="N471" t="s">
        <v>1832</v>
      </c>
      <c r="O471" t="s">
        <v>4115</v>
      </c>
      <c r="P471" t="s">
        <v>4093</v>
      </c>
      <c r="Q471" t="s">
        <v>565</v>
      </c>
      <c r="R471" t="s">
        <v>764</v>
      </c>
      <c r="S471" t="s">
        <v>2797</v>
      </c>
      <c r="T471" t="s">
        <v>565</v>
      </c>
    </row>
    <row r="472" spans="1:20">
      <c r="A472" t="s">
        <v>208</v>
      </c>
      <c r="B472" t="s">
        <v>1104</v>
      </c>
      <c r="C472" t="s">
        <v>936</v>
      </c>
      <c r="D472" t="s">
        <v>1104</v>
      </c>
      <c r="F472" t="s">
        <v>1104</v>
      </c>
      <c r="G472" t="s">
        <v>2097</v>
      </c>
      <c r="H472" t="s">
        <v>3465</v>
      </c>
      <c r="I472" t="s">
        <v>3466</v>
      </c>
      <c r="J472" t="s">
        <v>869</v>
      </c>
      <c r="K472" t="s">
        <v>1004</v>
      </c>
      <c r="L472" t="s">
        <v>1963</v>
      </c>
      <c r="M472" t="s">
        <v>1104</v>
      </c>
      <c r="N472" t="s">
        <v>2097</v>
      </c>
      <c r="O472" t="s">
        <v>3465</v>
      </c>
      <c r="P472" t="s">
        <v>3466</v>
      </c>
      <c r="Q472" t="s">
        <v>869</v>
      </c>
      <c r="R472" t="s">
        <v>1004</v>
      </c>
      <c r="S472" t="s">
        <v>1963</v>
      </c>
      <c r="T472" t="s">
        <v>827</v>
      </c>
    </row>
    <row r="473" spans="1:20">
      <c r="A473" t="s">
        <v>408</v>
      </c>
      <c r="B473" t="s">
        <v>989</v>
      </c>
      <c r="C473" t="s">
        <v>936</v>
      </c>
      <c r="D473" t="s">
        <v>989</v>
      </c>
      <c r="E473" t="s">
        <v>1732</v>
      </c>
      <c r="F473" t="s">
        <v>2327</v>
      </c>
      <c r="G473" t="s">
        <v>1767</v>
      </c>
      <c r="H473" t="s">
        <v>3360</v>
      </c>
      <c r="I473">
        <v>237.196</v>
      </c>
      <c r="J473" t="s">
        <v>1120</v>
      </c>
      <c r="K473" t="s">
        <v>1255</v>
      </c>
      <c r="L473" t="s">
        <v>2599</v>
      </c>
      <c r="M473" t="s">
        <v>2327</v>
      </c>
      <c r="N473" t="s">
        <v>1767</v>
      </c>
      <c r="O473" t="s">
        <v>3360</v>
      </c>
      <c r="P473">
        <v>237.196</v>
      </c>
      <c r="Q473" t="s">
        <v>1120</v>
      </c>
      <c r="R473" t="s">
        <v>1255</v>
      </c>
      <c r="S473" t="s">
        <v>2599</v>
      </c>
      <c r="T473" t="s">
        <v>1767</v>
      </c>
    </row>
    <row r="474" spans="1:20">
      <c r="A474" t="s">
        <v>442</v>
      </c>
      <c r="B474" t="s">
        <v>3190</v>
      </c>
      <c r="C474" t="s">
        <v>937</v>
      </c>
      <c r="D474" t="s">
        <v>3190</v>
      </c>
      <c r="E474" t="s">
        <v>3225</v>
      </c>
      <c r="F474" t="s">
        <v>2162</v>
      </c>
      <c r="G474" t="s">
        <v>2098</v>
      </c>
      <c r="H474" t="s">
        <v>3519</v>
      </c>
      <c r="I474">
        <v>1.4570000000000001</v>
      </c>
      <c r="J474" t="s">
        <v>1581</v>
      </c>
      <c r="K474" t="s">
        <v>3196</v>
      </c>
      <c r="L474" t="s">
        <v>2315</v>
      </c>
      <c r="M474" t="s">
        <v>2162</v>
      </c>
      <c r="N474" t="s">
        <v>2098</v>
      </c>
      <c r="O474" t="s">
        <v>3519</v>
      </c>
      <c r="P474">
        <v>1.4570000000000001</v>
      </c>
      <c r="Q474" t="s">
        <v>1581</v>
      </c>
      <c r="R474" t="s">
        <v>3196</v>
      </c>
      <c r="S474" t="s">
        <v>2315</v>
      </c>
      <c r="T474" t="s">
        <v>1581</v>
      </c>
    </row>
    <row r="475" spans="1:20">
      <c r="A475" t="s">
        <v>409</v>
      </c>
      <c r="B475" t="s">
        <v>2632</v>
      </c>
      <c r="C475" t="s">
        <v>937</v>
      </c>
      <c r="D475" t="s">
        <v>2632</v>
      </c>
      <c r="E475" t="s">
        <v>2336</v>
      </c>
      <c r="F475" t="s">
        <v>711</v>
      </c>
      <c r="G475" t="s">
        <v>2632</v>
      </c>
      <c r="H475" t="s">
        <v>3361</v>
      </c>
      <c r="I475" t="s">
        <v>3362</v>
      </c>
      <c r="J475" t="s">
        <v>1502</v>
      </c>
      <c r="K475" t="s">
        <v>2268</v>
      </c>
      <c r="L475" t="s">
        <v>2540</v>
      </c>
      <c r="M475" t="s">
        <v>711</v>
      </c>
      <c r="N475" t="s">
        <v>2632</v>
      </c>
      <c r="O475" t="s">
        <v>3361</v>
      </c>
      <c r="P475" t="s">
        <v>3362</v>
      </c>
      <c r="Q475" t="s">
        <v>1502</v>
      </c>
      <c r="R475" t="s">
        <v>2268</v>
      </c>
      <c r="S475" t="s">
        <v>2540</v>
      </c>
      <c r="T475" t="s">
        <v>2099</v>
      </c>
    </row>
    <row r="476" spans="1:20">
      <c r="A476" t="s">
        <v>443</v>
      </c>
      <c r="B476" t="s">
        <v>2905</v>
      </c>
      <c r="C476" t="s">
        <v>936</v>
      </c>
      <c r="D476" t="s">
        <v>2905</v>
      </c>
      <c r="E476" t="s">
        <v>2911</v>
      </c>
      <c r="F476" t="s">
        <v>3071</v>
      </c>
      <c r="G476" t="s">
        <v>1394</v>
      </c>
      <c r="H476" t="s">
        <v>3695</v>
      </c>
      <c r="I476">
        <v>234.08199999999999</v>
      </c>
      <c r="J476" t="s">
        <v>1358</v>
      </c>
      <c r="K476" t="s">
        <v>719</v>
      </c>
      <c r="L476" t="s">
        <v>2598</v>
      </c>
      <c r="M476" t="s">
        <v>3071</v>
      </c>
      <c r="N476" t="s">
        <v>1394</v>
      </c>
      <c r="O476" t="s">
        <v>3695</v>
      </c>
      <c r="P476">
        <v>234.08199999999999</v>
      </c>
      <c r="Q476" t="s">
        <v>1358</v>
      </c>
      <c r="R476" t="s">
        <v>719</v>
      </c>
      <c r="S476" t="s">
        <v>2598</v>
      </c>
      <c r="T476" t="s">
        <v>1362</v>
      </c>
    </row>
    <row r="477" spans="1:20">
      <c r="A477" t="s">
        <v>209</v>
      </c>
      <c r="B477" t="s">
        <v>2181</v>
      </c>
      <c r="C477" t="s">
        <v>936</v>
      </c>
      <c r="D477" t="s">
        <v>2345</v>
      </c>
      <c r="E477" t="s">
        <v>2181</v>
      </c>
      <c r="F477" t="s">
        <v>1925</v>
      </c>
      <c r="G477" t="s">
        <v>2680</v>
      </c>
      <c r="H477" t="s">
        <v>4116</v>
      </c>
      <c r="I477" t="s">
        <v>4094</v>
      </c>
      <c r="J477" t="s">
        <v>1415</v>
      </c>
      <c r="K477" t="s">
        <v>2272</v>
      </c>
      <c r="L477" t="s">
        <v>2374</v>
      </c>
      <c r="M477" t="s">
        <v>1925</v>
      </c>
      <c r="N477" t="s">
        <v>2680</v>
      </c>
      <c r="O477" t="s">
        <v>4116</v>
      </c>
      <c r="P477" t="s">
        <v>4094</v>
      </c>
      <c r="Q477" t="s">
        <v>1415</v>
      </c>
      <c r="R477" t="s">
        <v>2272</v>
      </c>
      <c r="S477" t="s">
        <v>2374</v>
      </c>
      <c r="T477" t="s">
        <v>1822</v>
      </c>
    </row>
    <row r="478" spans="1:20">
      <c r="A478" t="s">
        <v>210</v>
      </c>
      <c r="B478" t="s">
        <v>3109</v>
      </c>
      <c r="C478" t="s">
        <v>936</v>
      </c>
      <c r="D478" t="s">
        <v>3083</v>
      </c>
      <c r="E478" t="s">
        <v>3109</v>
      </c>
      <c r="F478" t="s">
        <v>1702</v>
      </c>
      <c r="G478" t="s">
        <v>2513</v>
      </c>
      <c r="H478" t="s">
        <v>3363</v>
      </c>
      <c r="I478" t="s">
        <v>3364</v>
      </c>
      <c r="J478" t="s">
        <v>663</v>
      </c>
      <c r="K478" t="s">
        <v>799</v>
      </c>
      <c r="L478" t="s">
        <v>1237</v>
      </c>
      <c r="M478" t="s">
        <v>1702</v>
      </c>
      <c r="N478" t="s">
        <v>2513</v>
      </c>
      <c r="O478" t="s">
        <v>3363</v>
      </c>
      <c r="P478" t="s">
        <v>3364</v>
      </c>
      <c r="Q478" t="s">
        <v>663</v>
      </c>
      <c r="R478" t="s">
        <v>799</v>
      </c>
      <c r="S478" t="s">
        <v>1237</v>
      </c>
      <c r="T478" t="s">
        <v>1663</v>
      </c>
    </row>
    <row r="479" spans="1:20">
      <c r="A479" t="s">
        <v>211</v>
      </c>
      <c r="B479" t="s">
        <v>2849</v>
      </c>
      <c r="C479" t="s">
        <v>937</v>
      </c>
      <c r="D479" t="s">
        <v>778</v>
      </c>
      <c r="E479" t="s">
        <v>2849</v>
      </c>
      <c r="F479" t="s">
        <v>2984</v>
      </c>
      <c r="G479" t="s">
        <v>1809</v>
      </c>
      <c r="H479" t="s">
        <v>3583</v>
      </c>
      <c r="I479" t="s">
        <v>3584</v>
      </c>
      <c r="J479" t="s">
        <v>1317</v>
      </c>
      <c r="K479" t="s">
        <v>829</v>
      </c>
      <c r="L479" t="s">
        <v>1650</v>
      </c>
      <c r="M479" t="s">
        <v>2984</v>
      </c>
      <c r="N479" t="s">
        <v>1809</v>
      </c>
      <c r="O479" t="s">
        <v>3583</v>
      </c>
      <c r="P479" t="s">
        <v>3584</v>
      </c>
      <c r="Q479" t="s">
        <v>1317</v>
      </c>
      <c r="R479" t="s">
        <v>829</v>
      </c>
      <c r="S479" t="s">
        <v>1650</v>
      </c>
      <c r="T479" t="s">
        <v>1918</v>
      </c>
    </row>
    <row r="480" spans="1:20">
      <c r="A480" t="s">
        <v>410</v>
      </c>
      <c r="B480" t="s">
        <v>953</v>
      </c>
      <c r="C480" t="s">
        <v>936</v>
      </c>
      <c r="D480" t="s">
        <v>953</v>
      </c>
      <c r="E480" t="s">
        <v>2876</v>
      </c>
      <c r="F480" t="s">
        <v>1924</v>
      </c>
      <c r="G480" t="s">
        <v>2130</v>
      </c>
      <c r="H480" t="s">
        <v>3365</v>
      </c>
      <c r="I480">
        <v>316.21100000000001</v>
      </c>
      <c r="J480" t="s">
        <v>907</v>
      </c>
      <c r="K480" t="s">
        <v>902</v>
      </c>
      <c r="L480" t="s">
        <v>768</v>
      </c>
      <c r="M480" t="s">
        <v>1924</v>
      </c>
      <c r="N480" t="s">
        <v>2130</v>
      </c>
      <c r="O480" t="s">
        <v>3365</v>
      </c>
      <c r="P480">
        <v>316.21100000000001</v>
      </c>
      <c r="Q480" t="s">
        <v>907</v>
      </c>
      <c r="R480" t="s">
        <v>902</v>
      </c>
      <c r="S480" t="s">
        <v>768</v>
      </c>
      <c r="T480" t="s">
        <v>907</v>
      </c>
    </row>
    <row r="481" spans="1:20">
      <c r="A481" t="s">
        <v>212</v>
      </c>
      <c r="B481" t="s">
        <v>2731</v>
      </c>
      <c r="C481" t="s">
        <v>937</v>
      </c>
      <c r="D481" t="s">
        <v>2299</v>
      </c>
      <c r="E481" t="s">
        <v>2731</v>
      </c>
      <c r="F481" t="s">
        <v>2897</v>
      </c>
      <c r="G481" t="s">
        <v>1774</v>
      </c>
      <c r="H481" t="s">
        <v>3637</v>
      </c>
      <c r="I481">
        <v>238.92</v>
      </c>
      <c r="J481" t="s">
        <v>1412</v>
      </c>
      <c r="K481" t="s">
        <v>1387</v>
      </c>
      <c r="L481" t="s">
        <v>721</v>
      </c>
      <c r="M481" t="s">
        <v>2897</v>
      </c>
      <c r="N481" t="s">
        <v>1774</v>
      </c>
      <c r="O481" t="s">
        <v>3637</v>
      </c>
      <c r="P481">
        <v>238.92</v>
      </c>
      <c r="Q481" t="s">
        <v>1412</v>
      </c>
      <c r="R481" t="s">
        <v>1387</v>
      </c>
      <c r="S481" t="s">
        <v>721</v>
      </c>
      <c r="T481" t="s">
        <v>1774</v>
      </c>
    </row>
    <row r="482" spans="1:20">
      <c r="A482" t="s">
        <v>213</v>
      </c>
      <c r="B482" t="s">
        <v>3197</v>
      </c>
      <c r="C482" t="s">
        <v>937</v>
      </c>
      <c r="D482" t="s">
        <v>3197</v>
      </c>
      <c r="E482" t="s">
        <v>3193</v>
      </c>
      <c r="F482" t="s">
        <v>1798</v>
      </c>
      <c r="G482" t="s">
        <v>959</v>
      </c>
      <c r="H482" t="s">
        <v>3638</v>
      </c>
      <c r="I482" t="s">
        <v>3087</v>
      </c>
      <c r="J482" t="s">
        <v>1408</v>
      </c>
      <c r="K482" t="s">
        <v>2561</v>
      </c>
      <c r="L482" t="s">
        <v>2216</v>
      </c>
      <c r="M482" t="s">
        <v>1798</v>
      </c>
      <c r="N482" t="s">
        <v>959</v>
      </c>
      <c r="O482" t="s">
        <v>3638</v>
      </c>
      <c r="P482" t="s">
        <v>3087</v>
      </c>
      <c r="Q482" t="s">
        <v>1408</v>
      </c>
      <c r="R482" t="s">
        <v>2561</v>
      </c>
      <c r="S482" t="s">
        <v>2216</v>
      </c>
      <c r="T482" t="s">
        <v>1853</v>
      </c>
    </row>
    <row r="483" spans="1:20">
      <c r="A483" t="s">
        <v>411</v>
      </c>
      <c r="B483" t="s">
        <v>2442</v>
      </c>
      <c r="C483" t="s">
        <v>937</v>
      </c>
      <c r="D483" t="s">
        <v>2442</v>
      </c>
      <c r="E483" t="s">
        <v>1357</v>
      </c>
      <c r="F483" t="s">
        <v>1722</v>
      </c>
      <c r="G483" t="s">
        <v>1189</v>
      </c>
      <c r="H483" t="s">
        <v>3366</v>
      </c>
      <c r="I483">
        <v>263.60500000000002</v>
      </c>
      <c r="J483" t="s">
        <v>891</v>
      </c>
      <c r="K483" t="s">
        <v>1684</v>
      </c>
      <c r="L483" t="s">
        <v>1902</v>
      </c>
      <c r="M483" t="s">
        <v>1722</v>
      </c>
      <c r="N483" t="s">
        <v>1189</v>
      </c>
      <c r="O483" t="s">
        <v>3366</v>
      </c>
      <c r="P483">
        <v>263.60500000000002</v>
      </c>
      <c r="Q483" t="s">
        <v>891</v>
      </c>
      <c r="R483" t="s">
        <v>1684</v>
      </c>
      <c r="S483" t="s">
        <v>1902</v>
      </c>
      <c r="T483" t="s">
        <v>1189</v>
      </c>
    </row>
    <row r="484" spans="1:20">
      <c r="A484" t="s">
        <v>214</v>
      </c>
      <c r="B484" t="s">
        <v>2655</v>
      </c>
      <c r="C484" t="s">
        <v>937</v>
      </c>
      <c r="D484" t="s">
        <v>2475</v>
      </c>
      <c r="E484" t="s">
        <v>2655</v>
      </c>
      <c r="F484" t="s">
        <v>1666</v>
      </c>
      <c r="G484" t="s">
        <v>2475</v>
      </c>
      <c r="H484" t="s">
        <v>3696</v>
      </c>
      <c r="I484" t="s">
        <v>3697</v>
      </c>
      <c r="J484" t="s">
        <v>1130</v>
      </c>
      <c r="K484" t="s">
        <v>3146</v>
      </c>
      <c r="L484" t="s">
        <v>3040</v>
      </c>
      <c r="M484" t="s">
        <v>1666</v>
      </c>
      <c r="N484" t="s">
        <v>2475</v>
      </c>
      <c r="O484" t="s">
        <v>3696</v>
      </c>
      <c r="P484" t="s">
        <v>3697</v>
      </c>
      <c r="Q484" t="s">
        <v>1130</v>
      </c>
      <c r="R484" t="s">
        <v>3146</v>
      </c>
      <c r="S484" t="s">
        <v>3040</v>
      </c>
      <c r="T484" t="s">
        <v>974</v>
      </c>
    </row>
    <row r="485" spans="1:20">
      <c r="A485" t="s">
        <v>215</v>
      </c>
      <c r="B485" t="s">
        <v>1773</v>
      </c>
      <c r="C485" t="s">
        <v>936</v>
      </c>
      <c r="D485" t="s">
        <v>1773</v>
      </c>
      <c r="E485" t="s">
        <v>2575</v>
      </c>
      <c r="F485" t="s">
        <v>1316</v>
      </c>
      <c r="G485" t="s">
        <v>1697</v>
      </c>
      <c r="H485" t="s">
        <v>3670</v>
      </c>
      <c r="I485" t="s">
        <v>3671</v>
      </c>
      <c r="J485" t="s">
        <v>1173</v>
      </c>
      <c r="K485" t="s">
        <v>770</v>
      </c>
      <c r="L485" t="s">
        <v>2482</v>
      </c>
      <c r="M485" t="s">
        <v>1316</v>
      </c>
      <c r="N485" t="s">
        <v>1697</v>
      </c>
      <c r="O485" t="s">
        <v>3670</v>
      </c>
      <c r="P485" t="s">
        <v>3671</v>
      </c>
      <c r="Q485" t="s">
        <v>1173</v>
      </c>
      <c r="R485" t="s">
        <v>770</v>
      </c>
      <c r="S485" t="s">
        <v>2482</v>
      </c>
      <c r="T485" t="s">
        <v>1697</v>
      </c>
    </row>
    <row r="486" spans="1:20">
      <c r="A486" t="s">
        <v>216</v>
      </c>
      <c r="B486" t="s">
        <v>2839</v>
      </c>
      <c r="C486" t="s">
        <v>936</v>
      </c>
      <c r="D486" t="s">
        <v>2853</v>
      </c>
      <c r="E486" t="s">
        <v>2839</v>
      </c>
      <c r="F486" t="s">
        <v>3046</v>
      </c>
      <c r="G486" t="s">
        <v>1322</v>
      </c>
      <c r="H486" t="s">
        <v>4055</v>
      </c>
      <c r="I486" t="s">
        <v>4056</v>
      </c>
      <c r="J486" t="s">
        <v>1320</v>
      </c>
      <c r="K486" t="s">
        <v>770</v>
      </c>
      <c r="L486" t="s">
        <v>1665</v>
      </c>
      <c r="M486" t="s">
        <v>3046</v>
      </c>
      <c r="N486" t="s">
        <v>1322</v>
      </c>
      <c r="O486" t="s">
        <v>4055</v>
      </c>
      <c r="P486" t="s">
        <v>4056</v>
      </c>
      <c r="Q486" t="s">
        <v>1320</v>
      </c>
      <c r="R486" t="s">
        <v>770</v>
      </c>
      <c r="S486" t="s">
        <v>1665</v>
      </c>
      <c r="T486" t="s">
        <v>1320</v>
      </c>
    </row>
    <row r="487" spans="1:20">
      <c r="A487" t="s">
        <v>412</v>
      </c>
      <c r="B487" t="s">
        <v>609</v>
      </c>
      <c r="C487" t="s">
        <v>936</v>
      </c>
      <c r="D487" t="s">
        <v>2418</v>
      </c>
      <c r="E487" t="s">
        <v>609</v>
      </c>
      <c r="F487" t="s">
        <v>1829</v>
      </c>
      <c r="G487" t="s">
        <v>3011</v>
      </c>
      <c r="H487" t="s">
        <v>3821</v>
      </c>
      <c r="I487" t="s">
        <v>3822</v>
      </c>
      <c r="J487" t="s">
        <v>656</v>
      </c>
      <c r="K487" t="s">
        <v>1254</v>
      </c>
      <c r="L487" t="s">
        <v>3036</v>
      </c>
      <c r="M487" t="s">
        <v>1829</v>
      </c>
      <c r="N487" t="s">
        <v>3011</v>
      </c>
      <c r="O487" t="s">
        <v>3821</v>
      </c>
      <c r="P487" t="s">
        <v>3822</v>
      </c>
      <c r="Q487" t="s">
        <v>656</v>
      </c>
      <c r="R487" t="s">
        <v>1254</v>
      </c>
      <c r="S487" t="s">
        <v>3036</v>
      </c>
      <c r="T487" t="s">
        <v>1827</v>
      </c>
    </row>
    <row r="488" spans="1:20">
      <c r="A488" t="s">
        <v>217</v>
      </c>
      <c r="B488" t="s">
        <v>2791</v>
      </c>
      <c r="C488" t="s">
        <v>937</v>
      </c>
      <c r="D488" t="s">
        <v>2997</v>
      </c>
      <c r="E488" t="s">
        <v>2791</v>
      </c>
      <c r="F488" t="s">
        <v>1033</v>
      </c>
      <c r="G488" t="s">
        <v>2791</v>
      </c>
      <c r="H488" t="s">
        <v>4057</v>
      </c>
      <c r="I488" t="s">
        <v>4058</v>
      </c>
      <c r="J488" t="s">
        <v>1282</v>
      </c>
      <c r="K488" t="s">
        <v>951</v>
      </c>
      <c r="L488" t="s">
        <v>2892</v>
      </c>
      <c r="M488" t="s">
        <v>1033</v>
      </c>
      <c r="N488" t="s">
        <v>2791</v>
      </c>
      <c r="O488" t="s">
        <v>4057</v>
      </c>
      <c r="P488" t="s">
        <v>4058</v>
      </c>
      <c r="Q488" t="s">
        <v>1282</v>
      </c>
      <c r="R488" t="s">
        <v>951</v>
      </c>
      <c r="S488" t="s">
        <v>2892</v>
      </c>
      <c r="T488" t="s">
        <v>1282</v>
      </c>
    </row>
    <row r="489" spans="1:20">
      <c r="A489" t="s">
        <v>218</v>
      </c>
      <c r="B489" t="s">
        <v>2696</v>
      </c>
      <c r="C489" t="s">
        <v>937</v>
      </c>
      <c r="D489" t="s">
        <v>2302</v>
      </c>
      <c r="E489" t="s">
        <v>2696</v>
      </c>
      <c r="F489" t="s">
        <v>2883</v>
      </c>
      <c r="G489" t="s">
        <v>966</v>
      </c>
      <c r="H489" t="s">
        <v>3765</v>
      </c>
      <c r="I489" t="s">
        <v>3766</v>
      </c>
      <c r="J489" t="s">
        <v>676</v>
      </c>
      <c r="K489" t="s">
        <v>876</v>
      </c>
      <c r="L489" t="s">
        <v>2724</v>
      </c>
      <c r="M489" t="s">
        <v>2883</v>
      </c>
      <c r="N489" t="s">
        <v>966</v>
      </c>
      <c r="O489" t="s">
        <v>3765</v>
      </c>
      <c r="P489" t="s">
        <v>3766</v>
      </c>
      <c r="Q489" t="s">
        <v>676</v>
      </c>
      <c r="R489" t="s">
        <v>876</v>
      </c>
      <c r="S489" t="s">
        <v>2724</v>
      </c>
      <c r="T489" t="s">
        <v>676</v>
      </c>
    </row>
    <row r="490" spans="1:20">
      <c r="A490" t="s">
        <v>219</v>
      </c>
      <c r="B490" t="s">
        <v>2347</v>
      </c>
      <c r="C490" t="s">
        <v>936</v>
      </c>
      <c r="D490" t="s">
        <v>2347</v>
      </c>
      <c r="F490" t="s">
        <v>2347</v>
      </c>
      <c r="G490" t="s">
        <v>746</v>
      </c>
      <c r="H490" t="s">
        <v>4059</v>
      </c>
      <c r="I490" t="s">
        <v>4060</v>
      </c>
      <c r="J490" t="s">
        <v>1242</v>
      </c>
      <c r="K490" t="s">
        <v>880</v>
      </c>
      <c r="L490" t="s">
        <v>2262</v>
      </c>
      <c r="M490" t="s">
        <v>2347</v>
      </c>
      <c r="N490" t="s">
        <v>746</v>
      </c>
      <c r="O490" t="s">
        <v>4059</v>
      </c>
      <c r="P490" t="s">
        <v>4060</v>
      </c>
      <c r="Q490" t="s">
        <v>1242</v>
      </c>
      <c r="R490" t="s">
        <v>880</v>
      </c>
      <c r="S490" t="s">
        <v>2262</v>
      </c>
      <c r="T490" t="s">
        <v>1242</v>
      </c>
    </row>
    <row r="491" spans="1:20">
      <c r="A491" t="s">
        <v>220</v>
      </c>
      <c r="B491" t="s">
        <v>1612</v>
      </c>
      <c r="C491" t="s">
        <v>936</v>
      </c>
      <c r="D491" t="s">
        <v>1612</v>
      </c>
      <c r="E491" t="s">
        <v>2380</v>
      </c>
      <c r="F491" t="s">
        <v>3020</v>
      </c>
      <c r="G491" t="s">
        <v>1023</v>
      </c>
      <c r="H491" t="s">
        <v>3767</v>
      </c>
      <c r="I491" t="s">
        <v>3768</v>
      </c>
      <c r="J491" t="s">
        <v>1416</v>
      </c>
      <c r="K491" t="s">
        <v>480</v>
      </c>
      <c r="L491" t="s">
        <v>2201</v>
      </c>
      <c r="M491" t="s">
        <v>3020</v>
      </c>
      <c r="N491" t="s">
        <v>1023</v>
      </c>
      <c r="O491" t="s">
        <v>3767</v>
      </c>
      <c r="P491" t="s">
        <v>3768</v>
      </c>
      <c r="Q491" t="s">
        <v>1416</v>
      </c>
      <c r="R491" t="s">
        <v>480</v>
      </c>
      <c r="S491" t="s">
        <v>2201</v>
      </c>
      <c r="T491" t="s">
        <v>1685</v>
      </c>
    </row>
    <row r="492" spans="1:20">
      <c r="A492" t="s">
        <v>221</v>
      </c>
      <c r="B492" t="s">
        <v>3089</v>
      </c>
      <c r="C492" t="s">
        <v>936</v>
      </c>
      <c r="D492" t="s">
        <v>3088</v>
      </c>
      <c r="E492" t="s">
        <v>3089</v>
      </c>
      <c r="F492" t="s">
        <v>1668</v>
      </c>
      <c r="G492" t="s">
        <v>3106</v>
      </c>
      <c r="H492" t="s">
        <v>3928</v>
      </c>
      <c r="I492">
        <v>371.29399999999998</v>
      </c>
      <c r="J492" t="s">
        <v>1417</v>
      </c>
      <c r="K492" t="s">
        <v>3090</v>
      </c>
      <c r="L492" t="s">
        <v>2888</v>
      </c>
      <c r="M492" t="s">
        <v>1668</v>
      </c>
      <c r="N492" t="s">
        <v>3106</v>
      </c>
      <c r="O492" t="s">
        <v>3928</v>
      </c>
      <c r="P492">
        <v>371.29399999999998</v>
      </c>
      <c r="Q492" t="s">
        <v>1417</v>
      </c>
      <c r="R492" t="s">
        <v>3090</v>
      </c>
      <c r="S492" t="s">
        <v>2888</v>
      </c>
      <c r="T492" t="s">
        <v>1417</v>
      </c>
    </row>
    <row r="493" spans="1:20">
      <c r="A493" t="s">
        <v>222</v>
      </c>
      <c r="B493" t="s">
        <v>668</v>
      </c>
      <c r="C493" t="s">
        <v>937</v>
      </c>
      <c r="D493" t="s">
        <v>668</v>
      </c>
      <c r="E493" t="s">
        <v>2222</v>
      </c>
      <c r="F493" t="s">
        <v>2389</v>
      </c>
      <c r="G493" t="s">
        <v>1546</v>
      </c>
      <c r="H493" t="s">
        <v>4061</v>
      </c>
      <c r="I493" t="s">
        <v>4062</v>
      </c>
      <c r="J493" t="s">
        <v>901</v>
      </c>
      <c r="K493" t="s">
        <v>1664</v>
      </c>
      <c r="L493" t="s">
        <v>2566</v>
      </c>
      <c r="M493" t="s">
        <v>2389</v>
      </c>
      <c r="N493" t="s">
        <v>1546</v>
      </c>
      <c r="O493" t="s">
        <v>4061</v>
      </c>
      <c r="P493" t="s">
        <v>4062</v>
      </c>
      <c r="Q493" t="s">
        <v>901</v>
      </c>
      <c r="R493" t="s">
        <v>1664</v>
      </c>
      <c r="S493" t="s">
        <v>2566</v>
      </c>
      <c r="T493" t="s">
        <v>901</v>
      </c>
    </row>
    <row r="494" spans="1:20">
      <c r="A494" t="s">
        <v>223</v>
      </c>
      <c r="B494" t="s">
        <v>2454</v>
      </c>
      <c r="C494" t="s">
        <v>936</v>
      </c>
      <c r="D494" t="s">
        <v>2786</v>
      </c>
      <c r="E494" t="s">
        <v>2454</v>
      </c>
      <c r="F494" t="s">
        <v>2330</v>
      </c>
      <c r="G494" t="s">
        <v>925</v>
      </c>
      <c r="H494" t="s">
        <v>3823</v>
      </c>
      <c r="I494" t="s">
        <v>3824</v>
      </c>
      <c r="J494" t="s">
        <v>644</v>
      </c>
      <c r="K494" t="s">
        <v>749</v>
      </c>
      <c r="L494" t="s">
        <v>1140</v>
      </c>
      <c r="M494" t="s">
        <v>2330</v>
      </c>
      <c r="N494" t="s">
        <v>925</v>
      </c>
      <c r="O494" t="s">
        <v>3823</v>
      </c>
      <c r="P494" t="s">
        <v>3824</v>
      </c>
      <c r="Q494" t="s">
        <v>644</v>
      </c>
      <c r="R494" t="s">
        <v>749</v>
      </c>
      <c r="S494" t="s">
        <v>1140</v>
      </c>
      <c r="T494" t="s">
        <v>644</v>
      </c>
    </row>
    <row r="495" spans="1:20">
      <c r="A495" t="s">
        <v>224</v>
      </c>
      <c r="B495" t="s">
        <v>3218</v>
      </c>
      <c r="C495" t="s">
        <v>937</v>
      </c>
      <c r="D495" t="s">
        <v>1888</v>
      </c>
      <c r="E495" t="s">
        <v>3218</v>
      </c>
      <c r="F495" t="s">
        <v>1821</v>
      </c>
      <c r="G495" t="s">
        <v>3218</v>
      </c>
      <c r="H495" t="s">
        <v>4063</v>
      </c>
      <c r="I495" t="s">
        <v>4064</v>
      </c>
      <c r="J495" t="s">
        <v>1239</v>
      </c>
      <c r="K495" t="s">
        <v>3229</v>
      </c>
      <c r="L495" t="s">
        <v>2571</v>
      </c>
      <c r="M495" t="s">
        <v>1821</v>
      </c>
      <c r="N495" t="s">
        <v>3218</v>
      </c>
      <c r="O495" t="s">
        <v>4063</v>
      </c>
      <c r="P495" t="s">
        <v>4064</v>
      </c>
      <c r="Q495" t="s">
        <v>1239</v>
      </c>
      <c r="R495" t="s">
        <v>3229</v>
      </c>
      <c r="S495" t="s">
        <v>2571</v>
      </c>
      <c r="T495" t="s">
        <v>1669</v>
      </c>
    </row>
    <row r="496" spans="1:20">
      <c r="A496" t="s">
        <v>413</v>
      </c>
      <c r="B496" t="s">
        <v>2373</v>
      </c>
      <c r="C496" t="s">
        <v>937</v>
      </c>
      <c r="D496" t="s">
        <v>2921</v>
      </c>
      <c r="E496" t="s">
        <v>2373</v>
      </c>
      <c r="F496" t="s">
        <v>2331</v>
      </c>
      <c r="G496" t="s">
        <v>700</v>
      </c>
      <c r="H496" t="s">
        <v>4065</v>
      </c>
      <c r="I496">
        <v>953.77200000000005</v>
      </c>
      <c r="J496" t="s">
        <v>700</v>
      </c>
      <c r="K496" t="s">
        <v>2514</v>
      </c>
      <c r="L496" t="s">
        <v>2102</v>
      </c>
      <c r="M496" t="s">
        <v>2331</v>
      </c>
      <c r="N496" t="s">
        <v>700</v>
      </c>
      <c r="O496" t="s">
        <v>4065</v>
      </c>
      <c r="P496">
        <v>953.77200000000005</v>
      </c>
      <c r="Q496" t="s">
        <v>700</v>
      </c>
      <c r="R496" t="s">
        <v>2514</v>
      </c>
      <c r="S496" t="s">
        <v>2102</v>
      </c>
      <c r="T496" t="s">
        <v>700</v>
      </c>
    </row>
    <row r="497" spans="1:20">
      <c r="A497" t="s">
        <v>225</v>
      </c>
      <c r="B497" t="s">
        <v>2850</v>
      </c>
      <c r="C497" t="s">
        <v>937</v>
      </c>
      <c r="D497" t="s">
        <v>2332</v>
      </c>
      <c r="E497" t="s">
        <v>2850</v>
      </c>
      <c r="F497" t="s">
        <v>2333</v>
      </c>
      <c r="G497" t="s">
        <v>2100</v>
      </c>
      <c r="H497" t="s">
        <v>3409</v>
      </c>
      <c r="I497">
        <v>66.591999999999999</v>
      </c>
      <c r="J497" t="s">
        <v>1586</v>
      </c>
      <c r="K497" t="s">
        <v>1851</v>
      </c>
      <c r="L497" t="s">
        <v>2384</v>
      </c>
      <c r="M497" t="s">
        <v>2333</v>
      </c>
      <c r="N497" t="s">
        <v>2100</v>
      </c>
      <c r="O497" t="s">
        <v>3409</v>
      </c>
      <c r="P497">
        <v>66.591999999999999</v>
      </c>
      <c r="Q497" t="s">
        <v>1586</v>
      </c>
      <c r="R497" t="s">
        <v>1851</v>
      </c>
      <c r="S497" t="s">
        <v>2384</v>
      </c>
      <c r="T497" t="s">
        <v>1061</v>
      </c>
    </row>
    <row r="498" spans="1:20">
      <c r="A498" t="s">
        <v>414</v>
      </c>
      <c r="B498" t="s">
        <v>2585</v>
      </c>
      <c r="C498" t="s">
        <v>936</v>
      </c>
      <c r="D498" t="s">
        <v>2591</v>
      </c>
      <c r="E498" t="s">
        <v>2585</v>
      </c>
      <c r="F498" t="s">
        <v>1753</v>
      </c>
      <c r="G498" t="s">
        <v>1283</v>
      </c>
      <c r="H498" t="s">
        <v>3445</v>
      </c>
      <c r="I498" t="s">
        <v>3446</v>
      </c>
      <c r="J498" t="s">
        <v>1197</v>
      </c>
      <c r="K498" t="s">
        <v>846</v>
      </c>
      <c r="L498" t="s">
        <v>872</v>
      </c>
      <c r="M498" t="s">
        <v>1753</v>
      </c>
      <c r="N498" t="s">
        <v>1283</v>
      </c>
      <c r="O498" t="s">
        <v>3445</v>
      </c>
      <c r="P498" t="s">
        <v>3446</v>
      </c>
      <c r="Q498" t="s">
        <v>1197</v>
      </c>
      <c r="R498" t="s">
        <v>846</v>
      </c>
      <c r="S498" t="s">
        <v>872</v>
      </c>
      <c r="T498" t="s">
        <v>1197</v>
      </c>
    </row>
    <row r="499" spans="1:20">
      <c r="A499" t="s">
        <v>444</v>
      </c>
      <c r="B499" t="s">
        <v>2915</v>
      </c>
      <c r="C499" t="s">
        <v>937</v>
      </c>
      <c r="D499" t="s">
        <v>2915</v>
      </c>
      <c r="E499" t="s">
        <v>3097</v>
      </c>
      <c r="F499" t="s">
        <v>2170</v>
      </c>
      <c r="G499" t="s">
        <v>2101</v>
      </c>
      <c r="H499" t="s">
        <v>3467</v>
      </c>
      <c r="I499">
        <v>20.684999999999999</v>
      </c>
      <c r="J499" t="s">
        <v>1587</v>
      </c>
      <c r="K499" t="s">
        <v>3199</v>
      </c>
      <c r="L499" t="s">
        <v>2893</v>
      </c>
      <c r="M499" t="s">
        <v>2170</v>
      </c>
      <c r="N499" t="s">
        <v>2101</v>
      </c>
      <c r="O499" t="s">
        <v>3467</v>
      </c>
      <c r="P499">
        <v>20.684999999999999</v>
      </c>
      <c r="Q499" t="s">
        <v>1587</v>
      </c>
      <c r="R499" t="s">
        <v>3199</v>
      </c>
      <c r="S499" t="s">
        <v>2893</v>
      </c>
      <c r="T499" t="s">
        <v>2101</v>
      </c>
    </row>
    <row r="500" spans="1:20">
      <c r="A500" t="s">
        <v>226</v>
      </c>
      <c r="B500" t="s">
        <v>939</v>
      </c>
      <c r="C500" t="s">
        <v>937</v>
      </c>
      <c r="D500" t="s">
        <v>2617</v>
      </c>
      <c r="E500" t="s">
        <v>939</v>
      </c>
      <c r="F500" t="s">
        <v>2334</v>
      </c>
      <c r="G500" t="s">
        <v>963</v>
      </c>
      <c r="H500" t="s">
        <v>3825</v>
      </c>
      <c r="I500" t="s">
        <v>3826</v>
      </c>
      <c r="J500" t="s">
        <v>1588</v>
      </c>
      <c r="K500" t="s">
        <v>2295</v>
      </c>
      <c r="L500" t="s">
        <v>973</v>
      </c>
      <c r="M500" t="s">
        <v>2334</v>
      </c>
      <c r="N500" t="s">
        <v>963</v>
      </c>
      <c r="O500" t="s">
        <v>3825</v>
      </c>
      <c r="P500" t="s">
        <v>3826</v>
      </c>
      <c r="Q500" t="s">
        <v>1588</v>
      </c>
      <c r="R500" t="s">
        <v>2295</v>
      </c>
      <c r="S500" t="s">
        <v>973</v>
      </c>
      <c r="T500" t="s">
        <v>1588</v>
      </c>
    </row>
    <row r="501" spans="1:20">
      <c r="A501" t="s">
        <v>227</v>
      </c>
      <c r="B501" t="s">
        <v>2567</v>
      </c>
      <c r="C501" t="s">
        <v>937</v>
      </c>
      <c r="D501" t="s">
        <v>2567</v>
      </c>
      <c r="E501" t="s">
        <v>2568</v>
      </c>
      <c r="F501" t="s">
        <v>2829</v>
      </c>
      <c r="G501" t="s">
        <v>1286</v>
      </c>
      <c r="H501" t="s">
        <v>3672</v>
      </c>
      <c r="I501" t="s">
        <v>3673</v>
      </c>
      <c r="J501" t="s">
        <v>1286</v>
      </c>
      <c r="K501" t="s">
        <v>2569</v>
      </c>
      <c r="L501" t="s">
        <v>2382</v>
      </c>
      <c r="M501" t="s">
        <v>2829</v>
      </c>
      <c r="N501" t="s">
        <v>1286</v>
      </c>
      <c r="O501" t="s">
        <v>3672</v>
      </c>
      <c r="P501" t="s">
        <v>3673</v>
      </c>
      <c r="Q501" t="s">
        <v>1286</v>
      </c>
      <c r="R501" t="s">
        <v>2569</v>
      </c>
      <c r="S501" t="s">
        <v>2382</v>
      </c>
      <c r="T501" t="s">
        <v>1727</v>
      </c>
    </row>
    <row r="502" spans="1:20">
      <c r="A502" t="s">
        <v>415</v>
      </c>
      <c r="B502" t="s">
        <v>1958</v>
      </c>
      <c r="C502" t="s">
        <v>936</v>
      </c>
      <c r="D502" t="s">
        <v>2206</v>
      </c>
      <c r="E502" t="s">
        <v>1958</v>
      </c>
      <c r="F502" t="s">
        <v>1293</v>
      </c>
      <c r="G502" t="s">
        <v>1851</v>
      </c>
      <c r="H502" t="s">
        <v>3367</v>
      </c>
      <c r="I502" t="s">
        <v>3368</v>
      </c>
      <c r="J502" t="s">
        <v>1589</v>
      </c>
      <c r="K502" t="s">
        <v>922</v>
      </c>
      <c r="L502" t="s">
        <v>2121</v>
      </c>
      <c r="M502" t="s">
        <v>1293</v>
      </c>
      <c r="N502" t="s">
        <v>1851</v>
      </c>
      <c r="O502" t="s">
        <v>3367</v>
      </c>
      <c r="P502" t="s">
        <v>3368</v>
      </c>
      <c r="Q502" t="s">
        <v>1589</v>
      </c>
      <c r="R502" t="s">
        <v>922</v>
      </c>
      <c r="S502" t="s">
        <v>2121</v>
      </c>
      <c r="T502" t="s">
        <v>1547</v>
      </c>
    </row>
    <row r="503" spans="1:20">
      <c r="A503" t="s">
        <v>228</v>
      </c>
      <c r="B503" t="s">
        <v>3172</v>
      </c>
      <c r="C503" t="s">
        <v>937</v>
      </c>
      <c r="D503" t="s">
        <v>3172</v>
      </c>
      <c r="E503" t="s">
        <v>3178</v>
      </c>
      <c r="F503" t="s">
        <v>1868</v>
      </c>
      <c r="G503" t="s">
        <v>1477</v>
      </c>
      <c r="H503" t="s">
        <v>3585</v>
      </c>
      <c r="I503">
        <v>44.162999999999997</v>
      </c>
      <c r="J503" t="s">
        <v>1590</v>
      </c>
      <c r="K503" t="s">
        <v>816</v>
      </c>
      <c r="L503" t="s">
        <v>951</v>
      </c>
      <c r="M503" t="s">
        <v>1868</v>
      </c>
      <c r="N503" t="s">
        <v>1477</v>
      </c>
      <c r="O503" t="s">
        <v>3585</v>
      </c>
      <c r="P503">
        <v>44.162999999999997</v>
      </c>
      <c r="Q503" t="s">
        <v>1590</v>
      </c>
      <c r="R503" t="s">
        <v>816</v>
      </c>
      <c r="S503" t="s">
        <v>951</v>
      </c>
      <c r="T503" t="s">
        <v>1590</v>
      </c>
    </row>
    <row r="504" spans="1:20">
      <c r="A504" t="s">
        <v>229</v>
      </c>
      <c r="B504" t="s">
        <v>2709</v>
      </c>
      <c r="C504" t="s">
        <v>937</v>
      </c>
      <c r="D504" t="s">
        <v>2709</v>
      </c>
      <c r="E504" t="s">
        <v>2213</v>
      </c>
      <c r="F504" t="s">
        <v>1331</v>
      </c>
      <c r="G504" t="s">
        <v>585</v>
      </c>
      <c r="H504" t="s">
        <v>3468</v>
      </c>
      <c r="I504" t="s">
        <v>3469</v>
      </c>
      <c r="J504" t="s">
        <v>1427</v>
      </c>
      <c r="K504" t="s">
        <v>829</v>
      </c>
      <c r="L504" t="s">
        <v>972</v>
      </c>
      <c r="M504" t="s">
        <v>1331</v>
      </c>
      <c r="N504" t="s">
        <v>585</v>
      </c>
      <c r="O504" t="s">
        <v>3468</v>
      </c>
      <c r="P504" t="s">
        <v>3469</v>
      </c>
      <c r="Q504" t="s">
        <v>1427</v>
      </c>
      <c r="R504" t="s">
        <v>829</v>
      </c>
      <c r="S504" t="s">
        <v>972</v>
      </c>
      <c r="T504" t="s">
        <v>940</v>
      </c>
    </row>
    <row r="505" spans="1:20">
      <c r="A505" t="s">
        <v>416</v>
      </c>
      <c r="B505" t="s">
        <v>1553</v>
      </c>
      <c r="C505" t="s">
        <v>936</v>
      </c>
      <c r="D505" t="s">
        <v>993</v>
      </c>
      <c r="E505" t="s">
        <v>1553</v>
      </c>
      <c r="F505" t="s">
        <v>1099</v>
      </c>
      <c r="G505" t="s">
        <v>2140</v>
      </c>
      <c r="H505" t="s">
        <v>3369</v>
      </c>
      <c r="I505" t="s">
        <v>3370</v>
      </c>
      <c r="J505" t="s">
        <v>1591</v>
      </c>
      <c r="K505" t="s">
        <v>788</v>
      </c>
      <c r="L505" t="s">
        <v>761</v>
      </c>
      <c r="M505" t="s">
        <v>1099</v>
      </c>
      <c r="N505" t="s">
        <v>2140</v>
      </c>
      <c r="O505" t="s">
        <v>3369</v>
      </c>
      <c r="P505" t="s">
        <v>3370</v>
      </c>
      <c r="Q505" t="s">
        <v>1591</v>
      </c>
      <c r="R505" t="s">
        <v>788</v>
      </c>
      <c r="S505" t="s">
        <v>761</v>
      </c>
      <c r="T505" t="s">
        <v>1553</v>
      </c>
    </row>
    <row r="506" spans="1:20">
      <c r="A506" t="s">
        <v>230</v>
      </c>
      <c r="B506" t="s">
        <v>622</v>
      </c>
      <c r="C506" t="s">
        <v>936</v>
      </c>
      <c r="D506" t="s">
        <v>1939</v>
      </c>
      <c r="E506" t="s">
        <v>622</v>
      </c>
      <c r="F506" t="s">
        <v>1599</v>
      </c>
      <c r="G506" t="s">
        <v>650</v>
      </c>
      <c r="H506" t="s">
        <v>4117</v>
      </c>
      <c r="I506" t="s">
        <v>4095</v>
      </c>
      <c r="J506" t="s">
        <v>863</v>
      </c>
      <c r="K506" t="s">
        <v>790</v>
      </c>
      <c r="L506" t="s">
        <v>1145</v>
      </c>
      <c r="M506" t="s">
        <v>1599</v>
      </c>
      <c r="N506" t="s">
        <v>650</v>
      </c>
      <c r="O506" t="s">
        <v>4117</v>
      </c>
      <c r="P506" t="s">
        <v>4095</v>
      </c>
      <c r="Q506" t="s">
        <v>863</v>
      </c>
      <c r="R506" t="s">
        <v>790</v>
      </c>
      <c r="S506" t="s">
        <v>1145</v>
      </c>
      <c r="T506" t="s">
        <v>1939</v>
      </c>
    </row>
    <row r="507" spans="1:20">
      <c r="A507" t="s">
        <v>231</v>
      </c>
      <c r="B507" t="s">
        <v>3183</v>
      </c>
      <c r="C507" t="s">
        <v>936</v>
      </c>
      <c r="D507" t="s">
        <v>3186</v>
      </c>
      <c r="E507" t="s">
        <v>3133</v>
      </c>
      <c r="F507" t="s">
        <v>1698</v>
      </c>
      <c r="G507" t="s">
        <v>3186</v>
      </c>
      <c r="H507" t="s">
        <v>4066</v>
      </c>
      <c r="I507" t="s">
        <v>4067</v>
      </c>
      <c r="J507" t="s">
        <v>1171</v>
      </c>
      <c r="K507" t="s">
        <v>2561</v>
      </c>
      <c r="L507" t="s">
        <v>3185</v>
      </c>
      <c r="M507" t="s">
        <v>1698</v>
      </c>
      <c r="N507" t="s">
        <v>3186</v>
      </c>
      <c r="O507" t="s">
        <v>4066</v>
      </c>
      <c r="P507" t="s">
        <v>4067</v>
      </c>
      <c r="Q507" t="s">
        <v>1171</v>
      </c>
      <c r="R507" t="s">
        <v>2561</v>
      </c>
      <c r="S507" t="s">
        <v>3185</v>
      </c>
      <c r="T507" t="s">
        <v>1092</v>
      </c>
    </row>
    <row r="508" spans="1:20">
      <c r="A508" t="s">
        <v>232</v>
      </c>
      <c r="B508" t="s">
        <v>2599</v>
      </c>
      <c r="C508" t="s">
        <v>937</v>
      </c>
      <c r="D508" t="s">
        <v>2599</v>
      </c>
      <c r="E508" t="s">
        <v>2459</v>
      </c>
      <c r="F508" t="s">
        <v>2195</v>
      </c>
      <c r="G508" t="s">
        <v>2599</v>
      </c>
      <c r="H508" t="s">
        <v>4068</v>
      </c>
      <c r="I508" t="s">
        <v>4069</v>
      </c>
      <c r="J508" t="s">
        <v>1387</v>
      </c>
      <c r="K508" t="s">
        <v>898</v>
      </c>
      <c r="L508" t="s">
        <v>2666</v>
      </c>
      <c r="M508" t="s">
        <v>2195</v>
      </c>
      <c r="N508" t="s">
        <v>2599</v>
      </c>
      <c r="O508" t="s">
        <v>4068</v>
      </c>
      <c r="P508" t="s">
        <v>4069</v>
      </c>
      <c r="Q508" t="s">
        <v>1387</v>
      </c>
      <c r="R508" t="s">
        <v>898</v>
      </c>
      <c r="S508" t="s">
        <v>2666</v>
      </c>
      <c r="T508" t="s">
        <v>1306</v>
      </c>
    </row>
    <row r="509" spans="1:20">
      <c r="A509" t="s">
        <v>233</v>
      </c>
      <c r="B509" t="s">
        <v>2908</v>
      </c>
      <c r="C509" t="s">
        <v>936</v>
      </c>
      <c r="D509" t="s">
        <v>637</v>
      </c>
      <c r="E509" t="s">
        <v>2908</v>
      </c>
      <c r="F509" t="s">
        <v>954</v>
      </c>
      <c r="G509" t="s">
        <v>1866</v>
      </c>
      <c r="H509" t="s">
        <v>3371</v>
      </c>
      <c r="I509">
        <v>648.11500000000001</v>
      </c>
      <c r="J509" t="s">
        <v>2104</v>
      </c>
      <c r="K509" t="s">
        <v>1238</v>
      </c>
      <c r="L509" t="s">
        <v>2483</v>
      </c>
      <c r="M509" t="s">
        <v>954</v>
      </c>
      <c r="N509" t="s">
        <v>1866</v>
      </c>
      <c r="O509" t="s">
        <v>3371</v>
      </c>
      <c r="P509">
        <v>648.11500000000001</v>
      </c>
      <c r="Q509" t="s">
        <v>2104</v>
      </c>
      <c r="R509" t="s">
        <v>1238</v>
      </c>
      <c r="S509" t="s">
        <v>2483</v>
      </c>
      <c r="T509" t="s">
        <v>2103</v>
      </c>
    </row>
    <row r="510" spans="1:20">
      <c r="A510" t="s">
        <v>234</v>
      </c>
      <c r="B510" t="s">
        <v>1974</v>
      </c>
      <c r="C510" t="s">
        <v>937</v>
      </c>
      <c r="D510" t="s">
        <v>1456</v>
      </c>
      <c r="E510" t="s">
        <v>1974</v>
      </c>
      <c r="F510" t="s">
        <v>2135</v>
      </c>
      <c r="G510" t="s">
        <v>1007</v>
      </c>
      <c r="H510" t="s">
        <v>3422</v>
      </c>
      <c r="I510" t="s">
        <v>3423</v>
      </c>
      <c r="J510" t="s">
        <v>1232</v>
      </c>
      <c r="K510" t="s">
        <v>856</v>
      </c>
      <c r="L510" t="s">
        <v>2590</v>
      </c>
      <c r="M510" t="s">
        <v>2135</v>
      </c>
      <c r="N510" t="s">
        <v>1007</v>
      </c>
      <c r="O510" t="s">
        <v>3422</v>
      </c>
      <c r="P510" t="s">
        <v>3423</v>
      </c>
      <c r="Q510" t="s">
        <v>1232</v>
      </c>
      <c r="R510" t="s">
        <v>856</v>
      </c>
      <c r="S510" t="s">
        <v>2590</v>
      </c>
      <c r="T510" t="s">
        <v>1231</v>
      </c>
    </row>
    <row r="511" spans="1:20">
      <c r="A511" t="s">
        <v>417</v>
      </c>
      <c r="B511" t="s">
        <v>3057</v>
      </c>
      <c r="C511" t="s">
        <v>937</v>
      </c>
      <c r="D511" t="s">
        <v>3057</v>
      </c>
      <c r="E511" t="s">
        <v>3002</v>
      </c>
      <c r="F511" t="s">
        <v>967</v>
      </c>
      <c r="G511" t="s">
        <v>3066</v>
      </c>
      <c r="H511" t="s">
        <v>3586</v>
      </c>
      <c r="I511" t="s">
        <v>3587</v>
      </c>
      <c r="J511" t="s">
        <v>574</v>
      </c>
      <c r="K511" t="s">
        <v>757</v>
      </c>
      <c r="L511" t="s">
        <v>767</v>
      </c>
      <c r="M511" t="s">
        <v>967</v>
      </c>
      <c r="N511" t="s">
        <v>3066</v>
      </c>
      <c r="O511" t="s">
        <v>3586</v>
      </c>
      <c r="P511" t="s">
        <v>3587</v>
      </c>
      <c r="Q511" t="s">
        <v>574</v>
      </c>
      <c r="R511" t="s">
        <v>757</v>
      </c>
      <c r="S511" t="s">
        <v>767</v>
      </c>
      <c r="T511" t="s">
        <v>1548</v>
      </c>
    </row>
    <row r="512" spans="1:20">
      <c r="A512" t="s">
        <v>235</v>
      </c>
      <c r="B512" t="s">
        <v>709</v>
      </c>
      <c r="C512" t="s">
        <v>937</v>
      </c>
      <c r="D512" t="s">
        <v>1728</v>
      </c>
      <c r="E512" t="s">
        <v>709</v>
      </c>
      <c r="F512" t="s">
        <v>1678</v>
      </c>
      <c r="G512" t="s">
        <v>1309</v>
      </c>
      <c r="H512" t="s">
        <v>3372</v>
      </c>
      <c r="I512">
        <v>601.69100000000003</v>
      </c>
      <c r="J512" t="s">
        <v>1287</v>
      </c>
      <c r="K512" t="s">
        <v>790</v>
      </c>
      <c r="L512" t="s">
        <v>1227</v>
      </c>
      <c r="M512" t="s">
        <v>1678</v>
      </c>
      <c r="N512" t="s">
        <v>1309</v>
      </c>
      <c r="O512" t="s">
        <v>3372</v>
      </c>
      <c r="P512">
        <v>601.69100000000003</v>
      </c>
      <c r="Q512" t="s">
        <v>1287</v>
      </c>
      <c r="R512" t="s">
        <v>790</v>
      </c>
      <c r="S512" t="s">
        <v>1227</v>
      </c>
      <c r="T512" t="s">
        <v>1677</v>
      </c>
    </row>
    <row r="513" spans="1:20">
      <c r="A513" t="s">
        <v>236</v>
      </c>
      <c r="B513" t="s">
        <v>3191</v>
      </c>
      <c r="C513" t="s">
        <v>937</v>
      </c>
      <c r="D513" t="s">
        <v>3191</v>
      </c>
      <c r="E513" t="s">
        <v>3052</v>
      </c>
      <c r="F513" t="s">
        <v>2337</v>
      </c>
      <c r="G513" t="s">
        <v>2106</v>
      </c>
      <c r="H513" t="s">
        <v>3769</v>
      </c>
      <c r="I513">
        <v>48.814999999999998</v>
      </c>
      <c r="J513" t="s">
        <v>1594</v>
      </c>
      <c r="K513" t="s">
        <v>1661</v>
      </c>
      <c r="L513" t="s">
        <v>879</v>
      </c>
      <c r="M513" t="s">
        <v>2337</v>
      </c>
      <c r="N513" t="s">
        <v>2106</v>
      </c>
      <c r="O513" t="s">
        <v>3769</v>
      </c>
      <c r="P513">
        <v>48.814999999999998</v>
      </c>
      <c r="Q513" t="s">
        <v>1594</v>
      </c>
      <c r="R513" t="s">
        <v>1661</v>
      </c>
      <c r="S513" t="s">
        <v>879</v>
      </c>
      <c r="T513" t="s">
        <v>2105</v>
      </c>
    </row>
    <row r="514" spans="1:20">
      <c r="A514" t="s">
        <v>237</v>
      </c>
      <c r="B514" t="s">
        <v>2672</v>
      </c>
      <c r="C514" t="s">
        <v>937</v>
      </c>
      <c r="D514" t="s">
        <v>2672</v>
      </c>
      <c r="E514" t="s">
        <v>2128</v>
      </c>
      <c r="F514" t="s">
        <v>1907</v>
      </c>
      <c r="G514" t="s">
        <v>2672</v>
      </c>
      <c r="H514" t="s">
        <v>3602</v>
      </c>
      <c r="I514" t="s">
        <v>3603</v>
      </c>
      <c r="J514" t="s">
        <v>1234</v>
      </c>
      <c r="K514" t="s">
        <v>2589</v>
      </c>
      <c r="L514" t="s">
        <v>2879</v>
      </c>
      <c r="M514" t="s">
        <v>1907</v>
      </c>
      <c r="N514" t="s">
        <v>2672</v>
      </c>
      <c r="O514" t="s">
        <v>3602</v>
      </c>
      <c r="P514" t="s">
        <v>3603</v>
      </c>
      <c r="Q514" t="s">
        <v>1234</v>
      </c>
      <c r="R514" t="s">
        <v>2589</v>
      </c>
      <c r="S514" t="s">
        <v>2879</v>
      </c>
      <c r="T514" t="s">
        <v>1234</v>
      </c>
    </row>
    <row r="515" spans="1:20">
      <c r="A515" t="s">
        <v>238</v>
      </c>
      <c r="B515" t="s">
        <v>1756</v>
      </c>
      <c r="C515" t="s">
        <v>936</v>
      </c>
      <c r="D515" t="s">
        <v>2398</v>
      </c>
      <c r="E515" t="s">
        <v>1756</v>
      </c>
      <c r="F515" t="s">
        <v>1527</v>
      </c>
      <c r="G515" t="s">
        <v>2279</v>
      </c>
      <c r="H515" t="s">
        <v>3827</v>
      </c>
      <c r="I515" t="s">
        <v>3180</v>
      </c>
      <c r="J515" t="s">
        <v>1044</v>
      </c>
      <c r="K515" t="s">
        <v>1664</v>
      </c>
      <c r="L515" t="s">
        <v>1620</v>
      </c>
      <c r="M515" t="s">
        <v>1527</v>
      </c>
      <c r="N515" t="s">
        <v>2279</v>
      </c>
      <c r="O515" t="s">
        <v>3827</v>
      </c>
      <c r="P515" t="s">
        <v>3180</v>
      </c>
      <c r="Q515" t="s">
        <v>1044</v>
      </c>
      <c r="R515" t="s">
        <v>1664</v>
      </c>
      <c r="S515" t="s">
        <v>1620</v>
      </c>
      <c r="T515" t="s">
        <v>1682</v>
      </c>
    </row>
    <row r="516" spans="1:20">
      <c r="A516" t="s">
        <v>239</v>
      </c>
      <c r="B516" t="s">
        <v>2787</v>
      </c>
      <c r="C516" t="s">
        <v>937</v>
      </c>
      <c r="D516" t="s">
        <v>2975</v>
      </c>
      <c r="E516" t="s">
        <v>2787</v>
      </c>
      <c r="F516" t="s">
        <v>813</v>
      </c>
      <c r="G516" t="s">
        <v>1717</v>
      </c>
      <c r="H516" t="s">
        <v>3604</v>
      </c>
      <c r="I516">
        <v>689.755</v>
      </c>
      <c r="J516" t="s">
        <v>638</v>
      </c>
      <c r="K516" t="s">
        <v>811</v>
      </c>
      <c r="L516" t="s">
        <v>817</v>
      </c>
      <c r="M516" t="s">
        <v>813</v>
      </c>
      <c r="N516" t="s">
        <v>1717</v>
      </c>
      <c r="O516" t="s">
        <v>3604</v>
      </c>
      <c r="P516">
        <v>689.755</v>
      </c>
      <c r="Q516" t="s">
        <v>638</v>
      </c>
      <c r="R516" t="s">
        <v>811</v>
      </c>
      <c r="S516" t="s">
        <v>817</v>
      </c>
      <c r="T516" t="s">
        <v>638</v>
      </c>
    </row>
    <row r="517" spans="1:20">
      <c r="A517" t="s">
        <v>240</v>
      </c>
      <c r="B517" t="s">
        <v>2491</v>
      </c>
      <c r="C517" t="s">
        <v>937</v>
      </c>
      <c r="D517" t="s">
        <v>1820</v>
      </c>
      <c r="E517" t="s">
        <v>2491</v>
      </c>
      <c r="F517" t="s">
        <v>1157</v>
      </c>
      <c r="G517" t="s">
        <v>712</v>
      </c>
      <c r="H517" t="s">
        <v>3929</v>
      </c>
      <c r="I517" t="s">
        <v>3930</v>
      </c>
      <c r="J517" t="s">
        <v>927</v>
      </c>
      <c r="K517" t="s">
        <v>873</v>
      </c>
      <c r="L517" t="s">
        <v>752</v>
      </c>
      <c r="M517" t="s">
        <v>1157</v>
      </c>
      <c r="N517" t="s">
        <v>712</v>
      </c>
      <c r="O517" t="s">
        <v>3929</v>
      </c>
      <c r="P517" t="s">
        <v>3930</v>
      </c>
      <c r="Q517" t="s">
        <v>927</v>
      </c>
      <c r="R517" t="s">
        <v>873</v>
      </c>
      <c r="S517" t="s">
        <v>752</v>
      </c>
      <c r="T517" t="s">
        <v>927</v>
      </c>
    </row>
    <row r="518" spans="1:20">
      <c r="A518" t="s">
        <v>241</v>
      </c>
      <c r="B518" t="s">
        <v>1719</v>
      </c>
      <c r="C518" t="s">
        <v>937</v>
      </c>
      <c r="D518" t="s">
        <v>1719</v>
      </c>
      <c r="E518" t="s">
        <v>2953</v>
      </c>
      <c r="F518" t="s">
        <v>3127</v>
      </c>
      <c r="G518" t="s">
        <v>1405</v>
      </c>
      <c r="H518" t="s">
        <v>3588</v>
      </c>
      <c r="I518">
        <v>436.18400000000003</v>
      </c>
      <c r="J518" t="s">
        <v>1103</v>
      </c>
      <c r="K518" t="s">
        <v>1066</v>
      </c>
      <c r="L518" t="s">
        <v>2651</v>
      </c>
      <c r="M518" t="s">
        <v>3127</v>
      </c>
      <c r="N518" t="s">
        <v>1405</v>
      </c>
      <c r="O518" t="s">
        <v>3588</v>
      </c>
      <c r="P518">
        <v>436.18400000000003</v>
      </c>
      <c r="Q518" t="s">
        <v>1103</v>
      </c>
      <c r="R518" t="s">
        <v>1066</v>
      </c>
      <c r="S518" t="s">
        <v>2651</v>
      </c>
      <c r="T518" t="s">
        <v>1804</v>
      </c>
    </row>
    <row r="519" spans="1:20">
      <c r="A519" t="s">
        <v>418</v>
      </c>
      <c r="B519" t="s">
        <v>1706</v>
      </c>
      <c r="C519" t="s">
        <v>936</v>
      </c>
      <c r="D519" t="s">
        <v>1706</v>
      </c>
      <c r="F519" t="s">
        <v>1706</v>
      </c>
      <c r="G519" t="s">
        <v>1280</v>
      </c>
      <c r="H519" t="s">
        <v>3536</v>
      </c>
      <c r="I519" t="s">
        <v>3537</v>
      </c>
      <c r="J519" t="s">
        <v>681</v>
      </c>
      <c r="K519" t="s">
        <v>1874</v>
      </c>
      <c r="L519" t="s">
        <v>896</v>
      </c>
      <c r="M519" t="s">
        <v>1706</v>
      </c>
      <c r="N519" t="s">
        <v>1280</v>
      </c>
      <c r="O519" t="s">
        <v>3536</v>
      </c>
      <c r="P519" t="s">
        <v>3537</v>
      </c>
      <c r="Q519" t="s">
        <v>681</v>
      </c>
      <c r="R519" t="s">
        <v>1874</v>
      </c>
      <c r="S519" t="s">
        <v>896</v>
      </c>
      <c r="T519" t="s">
        <v>681</v>
      </c>
    </row>
    <row r="520" spans="1:20">
      <c r="A520" t="s">
        <v>242</v>
      </c>
      <c r="B520" t="s">
        <v>2014</v>
      </c>
      <c r="C520" t="s">
        <v>936</v>
      </c>
      <c r="D520" t="s">
        <v>2014</v>
      </c>
      <c r="F520" t="s">
        <v>2014</v>
      </c>
      <c r="G520" t="s">
        <v>1596</v>
      </c>
      <c r="H520" t="s">
        <v>3373</v>
      </c>
      <c r="I520">
        <v>349.79899999999998</v>
      </c>
      <c r="J520" t="s">
        <v>1596</v>
      </c>
      <c r="K520" t="s">
        <v>912</v>
      </c>
      <c r="L520" t="s">
        <v>2262</v>
      </c>
      <c r="M520" t="s">
        <v>2014</v>
      </c>
      <c r="N520" t="s">
        <v>1596</v>
      </c>
      <c r="O520" t="s">
        <v>3373</v>
      </c>
      <c r="P520">
        <v>349.79899999999998</v>
      </c>
      <c r="Q520" t="s">
        <v>1596</v>
      </c>
      <c r="R520" t="s">
        <v>912</v>
      </c>
      <c r="S520" t="s">
        <v>2262</v>
      </c>
      <c r="T520" t="s">
        <v>1596</v>
      </c>
    </row>
    <row r="521" spans="1:20">
      <c r="A521" t="s">
        <v>243</v>
      </c>
      <c r="B521" t="s">
        <v>2492</v>
      </c>
      <c r="C521" t="s">
        <v>936</v>
      </c>
      <c r="D521" t="s">
        <v>2570</v>
      </c>
      <c r="E521" t="s">
        <v>2492</v>
      </c>
      <c r="F521" t="s">
        <v>1824</v>
      </c>
      <c r="G521" t="s">
        <v>970</v>
      </c>
      <c r="H521" t="s">
        <v>3828</v>
      </c>
      <c r="I521" t="s">
        <v>3829</v>
      </c>
      <c r="J521" t="s">
        <v>1385</v>
      </c>
      <c r="K521" t="s">
        <v>1162</v>
      </c>
      <c r="L521" t="s">
        <v>2878</v>
      </c>
      <c r="M521" t="s">
        <v>1824</v>
      </c>
      <c r="N521" t="s">
        <v>970</v>
      </c>
      <c r="O521" t="s">
        <v>3828</v>
      </c>
      <c r="P521" t="s">
        <v>3829</v>
      </c>
      <c r="Q521" t="s">
        <v>1385</v>
      </c>
      <c r="R521" t="s">
        <v>1162</v>
      </c>
      <c r="S521" t="s">
        <v>2878</v>
      </c>
      <c r="T521" t="s">
        <v>970</v>
      </c>
    </row>
    <row r="522" spans="1:20">
      <c r="A522" t="s">
        <v>445</v>
      </c>
      <c r="B522" t="s">
        <v>2833</v>
      </c>
      <c r="C522" t="s">
        <v>936</v>
      </c>
      <c r="D522" t="s">
        <v>2007</v>
      </c>
      <c r="E522" t="s">
        <v>2833</v>
      </c>
      <c r="F522" t="s">
        <v>1206</v>
      </c>
      <c r="G522" t="s">
        <v>3053</v>
      </c>
      <c r="H522" t="s">
        <v>3639</v>
      </c>
      <c r="I522">
        <v>995.53399999999999</v>
      </c>
      <c r="J522" t="s">
        <v>1064</v>
      </c>
      <c r="K522" t="s">
        <v>2397</v>
      </c>
      <c r="L522" t="s">
        <v>2485</v>
      </c>
      <c r="M522" t="s">
        <v>1206</v>
      </c>
      <c r="N522" t="s">
        <v>3053</v>
      </c>
      <c r="O522" t="s">
        <v>3639</v>
      </c>
      <c r="P522">
        <v>995.53399999999999</v>
      </c>
      <c r="Q522" t="s">
        <v>1064</v>
      </c>
      <c r="R522" t="s">
        <v>2397</v>
      </c>
      <c r="S522" t="s">
        <v>2485</v>
      </c>
      <c r="T522" t="s">
        <v>1064</v>
      </c>
    </row>
    <row r="523" spans="1:20">
      <c r="A523" t="s">
        <v>419</v>
      </c>
      <c r="B523" t="s">
        <v>2739</v>
      </c>
      <c r="C523" t="s">
        <v>937</v>
      </c>
      <c r="D523" t="s">
        <v>3119</v>
      </c>
      <c r="E523" t="s">
        <v>2739</v>
      </c>
      <c r="F523" t="s">
        <v>1839</v>
      </c>
      <c r="G523" t="s">
        <v>2739</v>
      </c>
      <c r="H523" t="s">
        <v>3770</v>
      </c>
      <c r="I523">
        <v>984.13499999999999</v>
      </c>
      <c r="J523" t="s">
        <v>1406</v>
      </c>
      <c r="K523" t="s">
        <v>3041</v>
      </c>
      <c r="L523" t="s">
        <v>2431</v>
      </c>
      <c r="M523" t="s">
        <v>1839</v>
      </c>
      <c r="N523" t="s">
        <v>2739</v>
      </c>
      <c r="O523" t="s">
        <v>3770</v>
      </c>
      <c r="P523">
        <v>984.13499999999999</v>
      </c>
      <c r="Q523" t="s">
        <v>1406</v>
      </c>
      <c r="R523" t="s">
        <v>3041</v>
      </c>
      <c r="S523" t="s">
        <v>2431</v>
      </c>
      <c r="T523" t="s">
        <v>1691</v>
      </c>
    </row>
    <row r="524" spans="1:20">
      <c r="A524" t="s">
        <v>244</v>
      </c>
      <c r="B524" t="s">
        <v>639</v>
      </c>
      <c r="C524" t="s">
        <v>937</v>
      </c>
      <c r="D524" t="s">
        <v>639</v>
      </c>
      <c r="E524" t="s">
        <v>1127</v>
      </c>
      <c r="F524" t="s">
        <v>917</v>
      </c>
      <c r="G524" t="s">
        <v>2021</v>
      </c>
      <c r="H524" t="s">
        <v>4070</v>
      </c>
      <c r="I524" t="s">
        <v>4071</v>
      </c>
      <c r="J524" t="s">
        <v>719</v>
      </c>
      <c r="K524" t="s">
        <v>790</v>
      </c>
      <c r="L524" t="s">
        <v>780</v>
      </c>
      <c r="M524" t="s">
        <v>917</v>
      </c>
      <c r="N524" t="s">
        <v>2021</v>
      </c>
      <c r="O524" t="s">
        <v>4070</v>
      </c>
      <c r="P524" t="s">
        <v>4071</v>
      </c>
      <c r="Q524" t="s">
        <v>719</v>
      </c>
      <c r="R524" t="s">
        <v>790</v>
      </c>
      <c r="S524" t="s">
        <v>780</v>
      </c>
      <c r="T524" t="s">
        <v>2107</v>
      </c>
    </row>
    <row r="525" spans="1:20">
      <c r="A525" t="s">
        <v>245</v>
      </c>
      <c r="B525" t="s">
        <v>2799</v>
      </c>
      <c r="C525" t="s">
        <v>936</v>
      </c>
      <c r="D525" t="s">
        <v>2415</v>
      </c>
      <c r="E525" t="s">
        <v>2799</v>
      </c>
      <c r="F525" t="s">
        <v>1716</v>
      </c>
      <c r="G525" t="s">
        <v>2184</v>
      </c>
      <c r="H525" t="s">
        <v>3284</v>
      </c>
      <c r="I525">
        <v>193.59</v>
      </c>
      <c r="J525" t="s">
        <v>1355</v>
      </c>
      <c r="K525" t="s">
        <v>795</v>
      </c>
      <c r="L525" t="s">
        <v>1676</v>
      </c>
      <c r="M525" t="s">
        <v>1716</v>
      </c>
      <c r="N525" t="s">
        <v>2184</v>
      </c>
      <c r="O525" t="s">
        <v>3284</v>
      </c>
      <c r="P525">
        <v>193.59</v>
      </c>
      <c r="Q525" t="s">
        <v>1355</v>
      </c>
      <c r="R525" t="s">
        <v>795</v>
      </c>
      <c r="S525" t="s">
        <v>1676</v>
      </c>
      <c r="T525" t="s">
        <v>1716</v>
      </c>
    </row>
    <row r="526" spans="1:20">
      <c r="A526" t="s">
        <v>246</v>
      </c>
      <c r="B526" t="s">
        <v>3033</v>
      </c>
      <c r="C526" t="s">
        <v>936</v>
      </c>
      <c r="D526" t="s">
        <v>3033</v>
      </c>
      <c r="E526" t="s">
        <v>2866</v>
      </c>
      <c r="F526" t="s">
        <v>1556</v>
      </c>
      <c r="G526" t="s">
        <v>2108</v>
      </c>
      <c r="H526" t="s">
        <v>4072</v>
      </c>
      <c r="I526" t="s">
        <v>4073</v>
      </c>
      <c r="J526" t="s">
        <v>1327</v>
      </c>
      <c r="K526" t="s">
        <v>824</v>
      </c>
      <c r="L526" t="s">
        <v>2820</v>
      </c>
      <c r="M526" t="s">
        <v>1556</v>
      </c>
      <c r="N526" t="s">
        <v>2108</v>
      </c>
      <c r="O526" t="s">
        <v>4072</v>
      </c>
      <c r="P526" t="s">
        <v>4073</v>
      </c>
      <c r="Q526" t="s">
        <v>1327</v>
      </c>
      <c r="R526" t="s">
        <v>824</v>
      </c>
      <c r="S526" t="s">
        <v>2820</v>
      </c>
      <c r="T526" t="s">
        <v>2109</v>
      </c>
    </row>
    <row r="527" spans="1:20">
      <c r="A527" t="s">
        <v>247</v>
      </c>
      <c r="B527" t="s">
        <v>1452</v>
      </c>
      <c r="C527" t="s">
        <v>937</v>
      </c>
      <c r="D527" t="s">
        <v>1452</v>
      </c>
      <c r="E527" t="s">
        <v>1274</v>
      </c>
      <c r="F527" t="s">
        <v>1818</v>
      </c>
      <c r="G527" t="s">
        <v>2631</v>
      </c>
      <c r="H527" t="s">
        <v>4074</v>
      </c>
      <c r="I527" t="s">
        <v>4075</v>
      </c>
      <c r="J527" t="s">
        <v>1205</v>
      </c>
      <c r="K527" t="s">
        <v>914</v>
      </c>
      <c r="L527" t="s">
        <v>2762</v>
      </c>
      <c r="M527" t="s">
        <v>1818</v>
      </c>
      <c r="N527" t="s">
        <v>2631</v>
      </c>
      <c r="O527" t="s">
        <v>4074</v>
      </c>
      <c r="P527" t="s">
        <v>4075</v>
      </c>
      <c r="Q527" t="s">
        <v>1205</v>
      </c>
      <c r="R527" t="s">
        <v>914</v>
      </c>
      <c r="S527" t="s">
        <v>2762</v>
      </c>
      <c r="T527" t="s">
        <v>1205</v>
      </c>
    </row>
    <row r="528" spans="1:20">
      <c r="A528" t="s">
        <v>420</v>
      </c>
      <c r="B528" t="s">
        <v>2496</v>
      </c>
      <c r="C528" t="s">
        <v>936</v>
      </c>
      <c r="D528" t="s">
        <v>2742</v>
      </c>
      <c r="E528" t="s">
        <v>2496</v>
      </c>
      <c r="F528" t="s">
        <v>1869</v>
      </c>
      <c r="G528" t="s">
        <v>543</v>
      </c>
      <c r="H528" t="s">
        <v>3520</v>
      </c>
      <c r="I528" t="s">
        <v>3521</v>
      </c>
      <c r="J528" t="s">
        <v>543</v>
      </c>
      <c r="K528" t="s">
        <v>983</v>
      </c>
      <c r="L528" t="s">
        <v>2816</v>
      </c>
      <c r="M528" t="s">
        <v>1869</v>
      </c>
      <c r="N528" t="s">
        <v>543</v>
      </c>
      <c r="O528" t="s">
        <v>3520</v>
      </c>
      <c r="P528" t="s">
        <v>3521</v>
      </c>
      <c r="Q528" t="s">
        <v>543</v>
      </c>
      <c r="R528" t="s">
        <v>983</v>
      </c>
      <c r="S528" t="s">
        <v>2816</v>
      </c>
      <c r="T528" t="s">
        <v>543</v>
      </c>
    </row>
    <row r="529" spans="1:20">
      <c r="A529" t="s">
        <v>248</v>
      </c>
      <c r="B529" t="s">
        <v>3165</v>
      </c>
      <c r="C529" t="s">
        <v>937</v>
      </c>
      <c r="D529" t="s">
        <v>3165</v>
      </c>
      <c r="E529" t="s">
        <v>3024</v>
      </c>
      <c r="F529" t="s">
        <v>1801</v>
      </c>
      <c r="G529" t="s">
        <v>3173</v>
      </c>
      <c r="H529" t="s">
        <v>3589</v>
      </c>
      <c r="I529">
        <v>992.97900000000004</v>
      </c>
      <c r="J529" t="s">
        <v>1214</v>
      </c>
      <c r="K529" t="s">
        <v>835</v>
      </c>
      <c r="L529" t="s">
        <v>2637</v>
      </c>
      <c r="M529" t="s">
        <v>1801</v>
      </c>
      <c r="N529" t="s">
        <v>3173</v>
      </c>
      <c r="O529" t="s">
        <v>3589</v>
      </c>
      <c r="P529">
        <v>992.97900000000004</v>
      </c>
      <c r="Q529" t="s">
        <v>1214</v>
      </c>
      <c r="R529" t="s">
        <v>835</v>
      </c>
      <c r="S529" t="s">
        <v>2637</v>
      </c>
      <c r="T529" t="s">
        <v>1214</v>
      </c>
    </row>
    <row r="530" spans="1:20">
      <c r="A530" t="s">
        <v>249</v>
      </c>
      <c r="B530" t="s">
        <v>2999</v>
      </c>
      <c r="C530" t="s">
        <v>936</v>
      </c>
      <c r="D530" t="s">
        <v>2705</v>
      </c>
      <c r="E530" t="s">
        <v>2999</v>
      </c>
      <c r="F530" t="s">
        <v>2110</v>
      </c>
      <c r="G530" t="s">
        <v>2111</v>
      </c>
      <c r="H530" t="s">
        <v>3538</v>
      </c>
      <c r="I530" t="s">
        <v>3539</v>
      </c>
      <c r="J530" t="s">
        <v>1597</v>
      </c>
      <c r="K530" t="s">
        <v>2623</v>
      </c>
      <c r="L530" t="s">
        <v>1861</v>
      </c>
      <c r="M530" t="s">
        <v>2110</v>
      </c>
      <c r="N530" t="s">
        <v>2111</v>
      </c>
      <c r="O530" t="s">
        <v>3538</v>
      </c>
      <c r="P530" t="s">
        <v>3539</v>
      </c>
      <c r="Q530" t="s">
        <v>1597</v>
      </c>
      <c r="R530" t="s">
        <v>2623</v>
      </c>
      <c r="S530" t="s">
        <v>1861</v>
      </c>
      <c r="T530" t="s">
        <v>2112</v>
      </c>
    </row>
    <row r="531" spans="1:20">
      <c r="A531" t="s">
        <v>421</v>
      </c>
      <c r="B531" t="s">
        <v>2702</v>
      </c>
      <c r="C531" t="s">
        <v>937</v>
      </c>
      <c r="D531" t="s">
        <v>2702</v>
      </c>
      <c r="E531" t="s">
        <v>2034</v>
      </c>
      <c r="F531" t="s">
        <v>1832</v>
      </c>
      <c r="G531" t="s">
        <v>2339</v>
      </c>
      <c r="H531" t="s">
        <v>4076</v>
      </c>
      <c r="I531" t="s">
        <v>4077</v>
      </c>
      <c r="J531" t="s">
        <v>1311</v>
      </c>
      <c r="K531" t="s">
        <v>757</v>
      </c>
      <c r="L531" t="s">
        <v>2216</v>
      </c>
      <c r="M531" t="s">
        <v>1832</v>
      </c>
      <c r="N531" t="s">
        <v>2339</v>
      </c>
      <c r="O531" t="s">
        <v>4076</v>
      </c>
      <c r="P531" t="s">
        <v>4077</v>
      </c>
      <c r="Q531" t="s">
        <v>1311</v>
      </c>
      <c r="R531" t="s">
        <v>757</v>
      </c>
      <c r="S531" t="s">
        <v>2216</v>
      </c>
      <c r="T531" t="s">
        <v>675</v>
      </c>
    </row>
    <row r="532" spans="1:20">
      <c r="A532" t="s">
        <v>422</v>
      </c>
      <c r="B532" t="s">
        <v>3159</v>
      </c>
      <c r="C532" t="s">
        <v>937</v>
      </c>
      <c r="D532" t="s">
        <v>3159</v>
      </c>
      <c r="E532" t="s">
        <v>867</v>
      </c>
      <c r="F532" t="s">
        <v>1096</v>
      </c>
      <c r="G532" t="s">
        <v>2113</v>
      </c>
      <c r="H532" t="s">
        <v>3374</v>
      </c>
      <c r="I532" t="s">
        <v>3375</v>
      </c>
      <c r="J532" t="s">
        <v>1598</v>
      </c>
      <c r="K532" t="s">
        <v>873</v>
      </c>
      <c r="L532" t="s">
        <v>890</v>
      </c>
      <c r="M532" t="s">
        <v>1096</v>
      </c>
      <c r="N532" t="s">
        <v>2113</v>
      </c>
      <c r="O532" t="s">
        <v>3374</v>
      </c>
      <c r="P532" t="s">
        <v>3375</v>
      </c>
      <c r="Q532" t="s">
        <v>1598</v>
      </c>
      <c r="R532" t="s">
        <v>873</v>
      </c>
      <c r="S532" t="s">
        <v>890</v>
      </c>
      <c r="T532" t="s">
        <v>2037</v>
      </c>
    </row>
    <row r="533" spans="1:20">
      <c r="A533" t="s">
        <v>250</v>
      </c>
      <c r="B533" t="s">
        <v>649</v>
      </c>
      <c r="C533" t="s">
        <v>937</v>
      </c>
      <c r="D533" t="s">
        <v>649</v>
      </c>
      <c r="E533" t="s">
        <v>581</v>
      </c>
      <c r="F533" t="s">
        <v>2845</v>
      </c>
      <c r="G533" t="s">
        <v>1457</v>
      </c>
      <c r="H533" t="s">
        <v>3698</v>
      </c>
      <c r="I533" t="s">
        <v>3699</v>
      </c>
      <c r="J533" t="s">
        <v>649</v>
      </c>
      <c r="K533" t="s">
        <v>804</v>
      </c>
      <c r="L533" t="s">
        <v>804</v>
      </c>
      <c r="M533" t="s">
        <v>2845</v>
      </c>
      <c r="N533" t="s">
        <v>1457</v>
      </c>
      <c r="O533" t="s">
        <v>3698</v>
      </c>
      <c r="P533" t="s">
        <v>3699</v>
      </c>
      <c r="Q533" t="s">
        <v>649</v>
      </c>
      <c r="R533" t="s">
        <v>804</v>
      </c>
      <c r="S533" t="s">
        <v>804</v>
      </c>
      <c r="T533" t="s">
        <v>636</v>
      </c>
    </row>
    <row r="534" spans="1:20">
      <c r="A534" t="s">
        <v>423</v>
      </c>
      <c r="B534" t="s">
        <v>909</v>
      </c>
      <c r="C534" t="s">
        <v>936</v>
      </c>
      <c r="D534" t="s">
        <v>549</v>
      </c>
      <c r="E534" t="s">
        <v>909</v>
      </c>
      <c r="F534" t="s">
        <v>863</v>
      </c>
      <c r="G534" t="s">
        <v>998</v>
      </c>
      <c r="H534" t="s">
        <v>3771</v>
      </c>
      <c r="I534" t="s">
        <v>3772</v>
      </c>
      <c r="J534" t="s">
        <v>698</v>
      </c>
      <c r="K534" t="s">
        <v>873</v>
      </c>
      <c r="L534" t="s">
        <v>809</v>
      </c>
      <c r="M534" t="s">
        <v>863</v>
      </c>
      <c r="N534" t="s">
        <v>998</v>
      </c>
      <c r="O534" t="s">
        <v>3771</v>
      </c>
      <c r="P534" t="s">
        <v>3772</v>
      </c>
      <c r="Q534" t="s">
        <v>698</v>
      </c>
      <c r="R534" t="s">
        <v>873</v>
      </c>
      <c r="S534" t="s">
        <v>809</v>
      </c>
      <c r="T534" t="s">
        <v>2009</v>
      </c>
    </row>
    <row r="535" spans="1:20">
      <c r="A535" t="s">
        <v>934</v>
      </c>
      <c r="B535" t="s">
        <v>3230</v>
      </c>
      <c r="C535" t="s">
        <v>937</v>
      </c>
      <c r="F535" t="s">
        <v>1914</v>
      </c>
      <c r="G535" t="s">
        <v>3195</v>
      </c>
      <c r="H535" t="s">
        <v>4118</v>
      </c>
      <c r="I535" t="s">
        <v>4119</v>
      </c>
      <c r="J535" t="s">
        <v>1426</v>
      </c>
      <c r="K535" t="s">
        <v>3231</v>
      </c>
      <c r="L535" t="s">
        <v>2176</v>
      </c>
      <c r="M535" t="s">
        <v>1914</v>
      </c>
      <c r="N535" t="s">
        <v>3195</v>
      </c>
      <c r="O535" t="s">
        <v>4118</v>
      </c>
      <c r="P535" t="s">
        <v>4119</v>
      </c>
      <c r="Q535" t="s">
        <v>1426</v>
      </c>
      <c r="R535" t="s">
        <v>3231</v>
      </c>
      <c r="S535" t="s">
        <v>2176</v>
      </c>
      <c r="T535" t="s">
        <v>1915</v>
      </c>
    </row>
  </sheetData>
  <sortState xmlns:xlrd2="http://schemas.microsoft.com/office/spreadsheetml/2017/richdata2" ref="A2:S533">
    <sortCondition ref="P1:P533"/>
  </sortState>
  <customSheetViews>
    <customSheetView guid="{02FE90F7-7852-43AF-A2AC-9192597C7D66}">
      <pageMargins left="0.7" right="0.7" top="0.75" bottom="0.75" header="0.3" footer="0.3"/>
    </customSheetView>
    <customSheetView guid="{05B5E080-9ABA-4416-B4A2-DFCA001314B3}">
      <selection activeCell="Z6" sqref="Z6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G159"/>
  <sheetViews>
    <sheetView zoomScaleNormal="100" workbookViewId="0">
      <selection activeCell="M19" sqref="M19"/>
    </sheetView>
  </sheetViews>
  <sheetFormatPr defaultRowHeight="15"/>
  <sheetData>
    <row r="3" spans="1:7" ht="28.5">
      <c r="A3" s="1" t="s">
        <v>573</v>
      </c>
    </row>
    <row r="4" spans="1:7">
      <c r="A4" s="2" t="s">
        <v>0</v>
      </c>
      <c r="B4" s="3" t="s">
        <v>572</v>
      </c>
      <c r="D4" t="s">
        <v>3</v>
      </c>
    </row>
    <row r="5" spans="1:7">
      <c r="A5" s="4"/>
      <c r="B5" s="21">
        <v>6.6799999999999998E-2</v>
      </c>
    </row>
    <row r="6" spans="1:7">
      <c r="A6" s="4" t="s">
        <v>16</v>
      </c>
      <c r="B6" s="21"/>
    </row>
    <row r="7" spans="1:7">
      <c r="A7" s="5">
        <v>0.43092592592592593</v>
      </c>
      <c r="B7" s="21"/>
      <c r="C7" t="str">
        <f>VLOOKUP(A6,Sayfa1!$A$1:$B$531,1,0)</f>
        <v>BIMAS</v>
      </c>
      <c r="D7" t="str">
        <f>VLOOKUP(C7,Sayfa1!$A$1:$S$531,14,0)</f>
        <v>475,00</v>
      </c>
      <c r="E7">
        <f>(D7*B5)</f>
        <v>31.73</v>
      </c>
      <c r="G7">
        <f>SUM(E7:E157)</f>
        <v>138.30509399999997</v>
      </c>
    </row>
    <row r="8" spans="1:7">
      <c r="A8" s="4">
        <v>475</v>
      </c>
      <c r="B8" s="21"/>
      <c r="D8" t="e">
        <f>VLOOKUP(A7,Sayfa1!$A$1:$S$531,12,0)</f>
        <v>#N/A</v>
      </c>
    </row>
    <row r="9" spans="1:7">
      <c r="A9" s="6">
        <v>-4.1999999999999997E-3</v>
      </c>
      <c r="B9" s="21"/>
      <c r="D9" t="e">
        <f>VLOOKUP(A8,Sayfa1!$A$1:$S$531,12,0)</f>
        <v>#N/A</v>
      </c>
    </row>
    <row r="10" spans="1:7">
      <c r="A10" s="4"/>
      <c r="B10" s="21">
        <v>6.0999999999999999E-2</v>
      </c>
      <c r="D10" t="e">
        <f>VLOOKUP(A9,Sayfa1!$A$1:$S$531,12,0)</f>
        <v>#N/A</v>
      </c>
    </row>
    <row r="11" spans="1:7">
      <c r="A11" s="4" t="s">
        <v>350</v>
      </c>
      <c r="B11" s="21"/>
      <c r="D11" t="e">
        <f>VLOOKUP(A10,Sayfa1!$A$1:$S$531,12,0)</f>
        <v>#N/A</v>
      </c>
    </row>
    <row r="12" spans="1:7">
      <c r="A12" s="5">
        <v>0.43091435185185184</v>
      </c>
      <c r="B12" s="21"/>
      <c r="D12" t="str">
        <f>VLOOKUP(A11,Sayfa1!$A$1:$S$531,14,0)</f>
        <v>96,45</v>
      </c>
      <c r="E12">
        <f t="shared" ref="E12:E67" si="0">(D12*B10)</f>
        <v>5.8834499999999998</v>
      </c>
    </row>
    <row r="13" spans="1:7">
      <c r="A13" s="4">
        <v>98.45</v>
      </c>
      <c r="B13" s="21"/>
      <c r="D13" t="e">
        <f>VLOOKUP(A12,Sayfa1!$A$1:$S$531,12,0)</f>
        <v>#N/A</v>
      </c>
    </row>
    <row r="14" spans="1:7">
      <c r="A14" s="6">
        <v>-1.15E-2</v>
      </c>
      <c r="B14" s="21"/>
      <c r="D14" t="e">
        <f>VLOOKUP(A13,Sayfa1!$A$1:$S$531,12,0)</f>
        <v>#N/A</v>
      </c>
    </row>
    <row r="15" spans="1:7">
      <c r="A15" s="4"/>
      <c r="B15" s="21">
        <v>5.2999999999999999E-2</v>
      </c>
      <c r="D15" t="e">
        <f>VLOOKUP(A14,Sayfa1!$A$1:$S$531,12,0)</f>
        <v>#N/A</v>
      </c>
    </row>
    <row r="16" spans="1:7">
      <c r="A16" s="4" t="s">
        <v>171</v>
      </c>
      <c r="B16" s="21"/>
      <c r="D16" t="e">
        <f>VLOOKUP(A15,Sayfa1!$A$1:$S$531,12,0)</f>
        <v>#N/A</v>
      </c>
    </row>
    <row r="17" spans="1:5">
      <c r="A17" s="5">
        <v>0.43092592592592593</v>
      </c>
      <c r="B17" s="21"/>
      <c r="D17" t="str">
        <f>VLOOKUP(A16,Sayfa1!$A$1:$S$531,14,0)</f>
        <v>208,30</v>
      </c>
      <c r="E17">
        <f t="shared" si="0"/>
        <v>11.039900000000001</v>
      </c>
    </row>
    <row r="18" spans="1:5">
      <c r="A18" s="4">
        <v>209</v>
      </c>
      <c r="B18" s="21"/>
      <c r="D18" t="e">
        <f>VLOOKUP(A17,Sayfa1!$A$1:$S$531,12,0)</f>
        <v>#N/A</v>
      </c>
    </row>
    <row r="19" spans="1:5">
      <c r="A19" s="6">
        <v>-7.1000000000000004E-3</v>
      </c>
      <c r="B19" s="21"/>
      <c r="D19" t="e">
        <f>VLOOKUP(A18,Sayfa1!$A$1:$S$531,12,0)</f>
        <v>#N/A</v>
      </c>
    </row>
    <row r="20" spans="1:5">
      <c r="A20" s="4"/>
      <c r="B20" s="21">
        <v>4.9200000000000001E-2</v>
      </c>
      <c r="D20" t="e">
        <f>VLOOKUP(A19,Sayfa1!$A$1:$S$531,12,0)</f>
        <v>#N/A</v>
      </c>
    </row>
    <row r="21" spans="1:5">
      <c r="A21" s="4" t="s">
        <v>207</v>
      </c>
      <c r="B21" s="21"/>
      <c r="D21" t="e">
        <f>VLOOKUP(A20,Sayfa1!$A$1:$S$531,12,0)</f>
        <v>#N/A</v>
      </c>
    </row>
    <row r="22" spans="1:5">
      <c r="A22" s="5">
        <v>0.43093749999999997</v>
      </c>
      <c r="B22" s="21"/>
      <c r="D22" t="str">
        <f>VLOOKUP(A21,Sayfa1!$A$1:$S$531,14,0)</f>
        <v>99,20</v>
      </c>
      <c r="E22">
        <f t="shared" si="0"/>
        <v>4.8806400000000005</v>
      </c>
    </row>
    <row r="23" spans="1:5">
      <c r="A23" s="4">
        <v>88.45</v>
      </c>
      <c r="B23" s="21"/>
      <c r="D23" t="e">
        <f>VLOOKUP(A22,Sayfa1!$A$1:$S$531,12,0)</f>
        <v>#N/A</v>
      </c>
    </row>
    <row r="24" spans="1:5">
      <c r="A24" s="6">
        <v>-1.2800000000000001E-2</v>
      </c>
      <c r="B24" s="21"/>
      <c r="D24" t="e">
        <f>VLOOKUP(A23,Sayfa1!$A$1:$S$531,12,0)</f>
        <v>#N/A</v>
      </c>
    </row>
    <row r="25" spans="1:5">
      <c r="A25" s="4"/>
      <c r="B25" s="21">
        <v>4.7399999999999998E-2</v>
      </c>
      <c r="D25" t="e">
        <f>VLOOKUP(A24,Sayfa1!$A$1:$S$531,12,0)</f>
        <v>#N/A</v>
      </c>
    </row>
    <row r="26" spans="1:5">
      <c r="A26" s="4" t="s">
        <v>20</v>
      </c>
      <c r="B26" s="21"/>
      <c r="D26" t="e">
        <f>VLOOKUP(A25,Sayfa1!$A$1:$S$531,12,0)</f>
        <v>#N/A</v>
      </c>
    </row>
    <row r="27" spans="1:5">
      <c r="A27" s="5">
        <v>0.43083333333333335</v>
      </c>
      <c r="B27" s="21"/>
      <c r="D27" t="str">
        <f>VLOOKUP(A26,Sayfa1!$A$1:$S$531,14,0)</f>
        <v>787,00</v>
      </c>
      <c r="E27">
        <f t="shared" si="0"/>
        <v>37.303799999999995</v>
      </c>
    </row>
    <row r="28" spans="1:5">
      <c r="A28" s="4">
        <v>788</v>
      </c>
      <c r="B28" s="21"/>
      <c r="D28" t="e">
        <f>VLOOKUP(A27,Sayfa1!$A$1:$S$531,12,0)</f>
        <v>#N/A</v>
      </c>
    </row>
    <row r="29" spans="1:5">
      <c r="A29" s="6">
        <v>8.3000000000000001E-3</v>
      </c>
      <c r="B29" s="21"/>
      <c r="D29" t="e">
        <f>VLOOKUP(A28,Sayfa1!$A$1:$S$531,12,0)</f>
        <v>#N/A</v>
      </c>
    </row>
    <row r="30" spans="1:5">
      <c r="A30" s="4"/>
      <c r="B30" s="21">
        <v>4.7100000000000003E-2</v>
      </c>
      <c r="D30" t="e">
        <f>VLOOKUP(A29,Sayfa1!$A$1:$S$531,12,0)</f>
        <v>#N/A</v>
      </c>
    </row>
    <row r="31" spans="1:5">
      <c r="A31" s="4" t="s">
        <v>99</v>
      </c>
      <c r="B31" s="21"/>
      <c r="D31" t="e">
        <f>VLOOKUP(A30,Sayfa1!$A$1:$S$531,12,0)</f>
        <v>#N/A</v>
      </c>
    </row>
    <row r="32" spans="1:5">
      <c r="A32" s="5">
        <v>0.43093749999999997</v>
      </c>
      <c r="B32" s="21"/>
      <c r="D32" t="str">
        <f>VLOOKUP(A31,Sayfa1!$A$1:$S$531,14,0)</f>
        <v>15,91</v>
      </c>
      <c r="E32">
        <f t="shared" si="0"/>
        <v>0.74936100000000005</v>
      </c>
    </row>
    <row r="33" spans="1:5">
      <c r="A33" s="4">
        <v>15.68</v>
      </c>
      <c r="B33" s="21"/>
      <c r="D33" t="e">
        <f>VLOOKUP(A32,Sayfa1!$A$1:$S$531,12,0)</f>
        <v>#N/A</v>
      </c>
    </row>
    <row r="34" spans="1:5">
      <c r="A34" s="6">
        <v>5.9999999999999995E-4</v>
      </c>
      <c r="B34" s="21"/>
      <c r="D34" t="e">
        <f>VLOOKUP(A33,Sayfa1!$A$1:$S$531,12,0)</f>
        <v>#N/A</v>
      </c>
    </row>
    <row r="35" spans="1:5">
      <c r="A35" s="4"/>
      <c r="B35" s="21">
        <v>4.7100000000000003E-2</v>
      </c>
      <c r="D35" t="e">
        <f>VLOOKUP(A34,Sayfa1!$A$1:$S$531,12,0)</f>
        <v>#N/A</v>
      </c>
    </row>
    <row r="36" spans="1:5">
      <c r="A36" s="4" t="s">
        <v>400</v>
      </c>
      <c r="B36" s="21"/>
      <c r="D36" t="e">
        <f>VLOOKUP(A35,Sayfa1!$A$1:$S$531,12,0)</f>
        <v>#N/A</v>
      </c>
    </row>
    <row r="37" spans="1:5">
      <c r="A37" s="5">
        <v>0.43086805555555552</v>
      </c>
      <c r="B37" s="21"/>
      <c r="D37" t="str">
        <f>VLOOKUP(A36,Sayfa1!$A$1:$S$531,14,0)</f>
        <v>60,00</v>
      </c>
      <c r="E37">
        <f t="shared" si="0"/>
        <v>2.8260000000000001</v>
      </c>
    </row>
    <row r="38" spans="1:5">
      <c r="A38" s="4">
        <v>65.25</v>
      </c>
      <c r="B38" s="21"/>
      <c r="D38" t="e">
        <f>VLOOKUP(A37,Sayfa1!$A$1:$S$531,12,0)</f>
        <v>#N/A</v>
      </c>
    </row>
    <row r="39" spans="1:5">
      <c r="A39" s="6">
        <v>-3.0999999999999999E-3</v>
      </c>
      <c r="B39" s="21"/>
      <c r="D39" t="e">
        <f>VLOOKUP(A38,Sayfa1!$A$1:$S$531,12,0)</f>
        <v>#N/A</v>
      </c>
    </row>
    <row r="40" spans="1:5">
      <c r="A40" s="4"/>
      <c r="B40" s="21">
        <v>4.6300000000000001E-2</v>
      </c>
      <c r="D40" t="e">
        <f>VLOOKUP(A39,Sayfa1!$A$1:$S$531,14,0)</f>
        <v>#N/A</v>
      </c>
    </row>
    <row r="41" spans="1:5">
      <c r="A41" s="4" t="s">
        <v>457</v>
      </c>
      <c r="B41" s="21"/>
      <c r="D41" t="str">
        <f>VLOOKUP(A41,Sayfa1!$A$1:$S$531,12,0)</f>
        <v>0,70</v>
      </c>
    </row>
    <row r="42" spans="1:5">
      <c r="A42" s="5">
        <v>0.43089120370370365</v>
      </c>
      <c r="B42" s="21"/>
      <c r="D42" t="str">
        <f>VLOOKUP(A41,Sayfa1!$A$1:$S$531,14,0)</f>
        <v>347,00</v>
      </c>
      <c r="E42">
        <f t="shared" si="0"/>
        <v>16.066099999999999</v>
      </c>
    </row>
    <row r="43" spans="1:5">
      <c r="A43" s="4">
        <v>341.5</v>
      </c>
      <c r="B43" s="21"/>
      <c r="D43" t="e">
        <f>VLOOKUP(A42,Sayfa1!$A$1:$S$531,12,0)</f>
        <v>#N/A</v>
      </c>
    </row>
    <row r="44" spans="1:5">
      <c r="A44" s="6">
        <v>1.8599999999999998E-2</v>
      </c>
      <c r="B44" s="21"/>
      <c r="D44" t="e">
        <f>VLOOKUP(A43,Sayfa1!$A$1:$S$531,12,0)</f>
        <v>#N/A</v>
      </c>
    </row>
    <row r="45" spans="1:5">
      <c r="A45" s="4"/>
      <c r="B45" s="21">
        <v>4.3400000000000001E-2</v>
      </c>
      <c r="D45" t="e">
        <f>VLOOKUP(A44,Sayfa1!$A$1:$S$531,14,0)</f>
        <v>#N/A</v>
      </c>
    </row>
    <row r="46" spans="1:5">
      <c r="A46" s="4" t="s">
        <v>113</v>
      </c>
      <c r="B46" s="21"/>
      <c r="D46" t="e">
        <f>VLOOKUP(A45,Sayfa1!$A$1:$S$531,12,0)</f>
        <v>#N/A</v>
      </c>
    </row>
    <row r="47" spans="1:5">
      <c r="A47" s="5">
        <v>0.43093749999999997</v>
      </c>
      <c r="B47" s="21"/>
      <c r="D47" t="str">
        <f>VLOOKUP(A46,Sayfa1!$A$1:$S$531,14,0)</f>
        <v>227,00</v>
      </c>
      <c r="E47">
        <f t="shared" si="0"/>
        <v>9.8518000000000008</v>
      </c>
    </row>
    <row r="48" spans="1:5">
      <c r="A48" s="4">
        <v>247.8</v>
      </c>
      <c r="B48" s="21"/>
      <c r="D48" t="e">
        <f>VLOOKUP(A47,Sayfa1!$A$1:$S$531,12,0)</f>
        <v>#N/A</v>
      </c>
    </row>
    <row r="49" spans="1:5">
      <c r="A49" s="6">
        <v>-8.3999999999999995E-3</v>
      </c>
      <c r="B49" s="21"/>
      <c r="D49" t="e">
        <f>VLOOKUP(A48,Sayfa1!$A$1:$S$531,12,0)</f>
        <v>#N/A</v>
      </c>
    </row>
    <row r="50" spans="1:5">
      <c r="A50" s="4"/>
      <c r="B50" s="21">
        <v>3.8199999999999998E-2</v>
      </c>
      <c r="D50" t="e">
        <f>VLOOKUP(A49,Sayfa1!$A$1:$S$531,12,0)</f>
        <v>#N/A</v>
      </c>
    </row>
    <row r="51" spans="1:5">
      <c r="A51" s="4" t="s">
        <v>206</v>
      </c>
      <c r="B51" s="21"/>
      <c r="D51" t="e">
        <f>VLOOKUP(A50,Sayfa1!$A$1:$S$531,12,0)</f>
        <v>#N/A</v>
      </c>
    </row>
    <row r="52" spans="1:5">
      <c r="A52" s="5">
        <v>0.43093749999999997</v>
      </c>
      <c r="B52" s="21"/>
      <c r="D52" t="str">
        <f>VLOOKUP(A51,Sayfa1!$A$1:$S$531,14,0)</f>
        <v>248,10</v>
      </c>
      <c r="E52">
        <f t="shared" si="0"/>
        <v>9.4774199999999986</v>
      </c>
    </row>
    <row r="53" spans="1:5">
      <c r="A53" s="4">
        <v>236.2</v>
      </c>
      <c r="B53" s="21"/>
      <c r="D53" t="e">
        <f>VLOOKUP(A52,Sayfa1!$A$1:$S$531,12,0)</f>
        <v>#N/A</v>
      </c>
    </row>
    <row r="54" spans="1:5">
      <c r="A54" s="6">
        <v>8.0000000000000004E-4</v>
      </c>
      <c r="B54" s="21"/>
      <c r="D54" t="e">
        <f>VLOOKUP(A53,Sayfa1!$A$1:$S$531,12,0)</f>
        <v>#N/A</v>
      </c>
    </row>
    <row r="55" spans="1:5">
      <c r="A55" s="4"/>
      <c r="B55" s="21">
        <v>3.73E-2</v>
      </c>
      <c r="D55" t="e">
        <f>VLOOKUP(A54,Sayfa1!$A$1:$S$531,12,0)</f>
        <v>#N/A</v>
      </c>
    </row>
    <row r="56" spans="1:5">
      <c r="A56" s="4" t="s">
        <v>224</v>
      </c>
      <c r="B56" s="21"/>
      <c r="D56" t="e">
        <f>VLOOKUP(A55,Sayfa1!$A$1:$S$531,12,0)</f>
        <v>#N/A</v>
      </c>
    </row>
    <row r="57" spans="1:5">
      <c r="A57" s="5">
        <v>0.43092592592592593</v>
      </c>
      <c r="B57" s="21"/>
      <c r="D57" t="str">
        <f>VLOOKUP(A56,Sayfa1!$A$1:$S$531,12,0)</f>
        <v>-3,05</v>
      </c>
      <c r="E57">
        <f t="shared" si="0"/>
        <v>-0.11376499999999999</v>
      </c>
    </row>
    <row r="58" spans="1:5">
      <c r="A58" s="4">
        <v>188.8</v>
      </c>
      <c r="B58" s="21"/>
      <c r="D58" t="e">
        <f>VLOOKUP(A57,Sayfa1!$A$1:$S$531,12,0)</f>
        <v>#N/A</v>
      </c>
    </row>
    <row r="59" spans="1:5">
      <c r="A59" s="6">
        <v>-2.5999999999999999E-3</v>
      </c>
      <c r="B59" s="21"/>
      <c r="D59" t="e">
        <f>VLOOKUP(A58,Sayfa1!$A$1:$S$531,12,0)</f>
        <v>#N/A</v>
      </c>
    </row>
    <row r="60" spans="1:5">
      <c r="A60" s="4"/>
      <c r="B60" s="21">
        <v>3.0700000000000002E-2</v>
      </c>
      <c r="D60" t="e">
        <f>VLOOKUP(A59,Sayfa1!$A$1:$S$531,12,0)</f>
        <v>#N/A</v>
      </c>
    </row>
    <row r="61" spans="1:5">
      <c r="A61" s="4" t="s">
        <v>5</v>
      </c>
      <c r="B61" s="21"/>
      <c r="D61" t="e">
        <f>VLOOKUP(A60,Sayfa1!$A$1:$S$531,12,0)</f>
        <v>#N/A</v>
      </c>
    </row>
    <row r="62" spans="1:5">
      <c r="A62" s="5">
        <v>0.43093749999999997</v>
      </c>
      <c r="B62" s="21"/>
      <c r="D62" t="str">
        <f>VLOOKUP(A61,Sayfa1!$A$1:$S$531,14,0)</f>
        <v>63,50</v>
      </c>
      <c r="E62">
        <f t="shared" si="0"/>
        <v>1.9494500000000001</v>
      </c>
    </row>
    <row r="63" spans="1:5">
      <c r="A63" s="4">
        <v>67.55</v>
      </c>
      <c r="B63" s="21"/>
      <c r="D63" t="e">
        <f>VLOOKUP(A62,Sayfa1!$A$1:$S$531,12,0)</f>
        <v>#N/A</v>
      </c>
    </row>
    <row r="64" spans="1:5">
      <c r="A64" s="6">
        <v>-6.6E-3</v>
      </c>
      <c r="B64" s="21"/>
      <c r="D64" t="e">
        <f>VLOOKUP(A63,Sayfa1!$A$1:$S$531,12,0)</f>
        <v>#N/A</v>
      </c>
    </row>
    <row r="65" spans="1:5">
      <c r="A65" s="4"/>
      <c r="B65" s="21">
        <v>2.53E-2</v>
      </c>
      <c r="D65" t="e">
        <f>VLOOKUP(A64,Sayfa1!$A$1:$S$531,12,0)</f>
        <v>#N/A</v>
      </c>
    </row>
    <row r="66" spans="1:5">
      <c r="A66" s="4" t="s">
        <v>404</v>
      </c>
      <c r="B66" s="21"/>
      <c r="D66" t="e">
        <f>VLOOKUP(A65,Sayfa1!$A$1:$S$531,12,0)</f>
        <v>#N/A</v>
      </c>
    </row>
    <row r="67" spans="1:5">
      <c r="A67" s="5">
        <v>0.43087962962962961</v>
      </c>
      <c r="B67" s="21"/>
      <c r="D67" t="str">
        <f>VLOOKUP(A66,Sayfa1!$A$1:$S$531,14,0)</f>
        <v>180,20</v>
      </c>
      <c r="E67">
        <f t="shared" si="0"/>
        <v>4.5590599999999997</v>
      </c>
    </row>
    <row r="68" spans="1:5">
      <c r="A68" s="4">
        <v>177.6</v>
      </c>
      <c r="B68" s="21"/>
      <c r="D68" t="e">
        <f>VLOOKUP(A67,Sayfa1!$A$1:$S$531,12,0)</f>
        <v>#N/A</v>
      </c>
    </row>
    <row r="69" spans="1:5">
      <c r="A69" s="6">
        <v>-3.8999999999999998E-3</v>
      </c>
      <c r="B69" s="21"/>
      <c r="D69" t="e">
        <f>VLOOKUP(A68,Sayfa1!$A$1:$S$531,12,0)</f>
        <v>#N/A</v>
      </c>
    </row>
    <row r="70" spans="1:5">
      <c r="A70" s="4"/>
      <c r="B70" s="21">
        <v>2.47E-2</v>
      </c>
      <c r="D70" t="e">
        <f>VLOOKUP(A69,Sayfa1!$A$1:$S$531,12,0)</f>
        <v>#N/A</v>
      </c>
    </row>
    <row r="71" spans="1:5">
      <c r="A71" s="4" t="s">
        <v>133</v>
      </c>
      <c r="B71" s="21"/>
      <c r="D71" t="e">
        <f>VLOOKUP(A70,Sayfa1!$A$1:$S$531,12,0)</f>
        <v>#N/A</v>
      </c>
    </row>
    <row r="72" spans="1:5">
      <c r="A72" s="5">
        <v>0.43040509259259263</v>
      </c>
      <c r="B72" s="21"/>
      <c r="D72" t="str">
        <f>VLOOKUP(A71,Sayfa1!$A$1:$S$531,14,0)</f>
        <v>99,00</v>
      </c>
      <c r="E72">
        <f t="shared" ref="E72:E132" si="1">(D72*B70)</f>
        <v>2.4453</v>
      </c>
    </row>
    <row r="73" spans="1:5">
      <c r="A73" s="4">
        <v>99.95</v>
      </c>
      <c r="B73" s="21"/>
      <c r="D73" t="e">
        <f>VLOOKUP(A72,Sayfa1!$A$1:$S$531,12,0)</f>
        <v>#N/A</v>
      </c>
    </row>
    <row r="74" spans="1:5">
      <c r="A74" s="6">
        <v>-6.4999999999999997E-3</v>
      </c>
      <c r="B74" s="21"/>
      <c r="D74" t="e">
        <f>VLOOKUP(A73,Sayfa1!$A$1:$S$531,12,0)</f>
        <v>#N/A</v>
      </c>
    </row>
    <row r="75" spans="1:5">
      <c r="A75" s="4"/>
      <c r="B75" s="21">
        <v>2.4500000000000001E-2</v>
      </c>
      <c r="D75" t="e">
        <f>VLOOKUP(A74,Sayfa1!$A$1:$S$531,12,0)</f>
        <v>#N/A</v>
      </c>
    </row>
    <row r="76" spans="1:5">
      <c r="A76" s="4" t="s">
        <v>460</v>
      </c>
      <c r="B76" s="21"/>
      <c r="D76" t="e">
        <f>VLOOKUP(A75,Sayfa1!$A$1:$S$531,12,0)</f>
        <v>#N/A</v>
      </c>
    </row>
    <row r="77" spans="1:5">
      <c r="A77" s="5">
        <v>0.43086805555555552</v>
      </c>
      <c r="B77" s="21"/>
      <c r="D77" t="str">
        <f>VLOOKUP(A76,Sayfa1!$A$1:$S$531,12,0)</f>
        <v>1,01</v>
      </c>
      <c r="E77">
        <f t="shared" si="1"/>
        <v>2.4745E-2</v>
      </c>
    </row>
    <row r="78" spans="1:5">
      <c r="A78" s="4">
        <v>7.6</v>
      </c>
      <c r="B78" s="21"/>
      <c r="D78" t="e">
        <f>VLOOKUP(A77,Sayfa1!$A$1:$S$531,12,0)</f>
        <v>#N/A</v>
      </c>
    </row>
    <row r="79" spans="1:5">
      <c r="A79" s="6">
        <v>1.2999999999999999E-3</v>
      </c>
      <c r="B79" s="21"/>
      <c r="D79" t="e">
        <f>VLOOKUP(A78,Sayfa1!$A$1:$S$531,12,0)</f>
        <v>#N/A</v>
      </c>
    </row>
    <row r="80" spans="1:5">
      <c r="A80" s="4"/>
      <c r="B80" s="21">
        <v>2.41E-2</v>
      </c>
      <c r="D80" t="e">
        <f>VLOOKUP(A79,Sayfa1!$A$1:$S$531,12,0)</f>
        <v>#N/A</v>
      </c>
    </row>
    <row r="81" spans="1:5">
      <c r="A81" s="4" t="s">
        <v>214</v>
      </c>
      <c r="B81" s="21"/>
      <c r="D81" t="e">
        <f>VLOOKUP(A80,Sayfa1!$A$1:$S$531,12,0)</f>
        <v>#N/A</v>
      </c>
    </row>
    <row r="82" spans="1:5">
      <c r="A82" s="5">
        <v>0.43092592592592593</v>
      </c>
      <c r="B82" s="21"/>
      <c r="D82" t="str">
        <f>VLOOKUP(A81,Sayfa1!$A$1:$S$531,12,0)</f>
        <v>-3,41</v>
      </c>
      <c r="E82">
        <f t="shared" si="1"/>
        <v>-8.2181000000000004E-2</v>
      </c>
    </row>
    <row r="83" spans="1:5">
      <c r="A83" s="4">
        <v>306</v>
      </c>
      <c r="B83" s="21"/>
      <c r="D83" t="e">
        <f>VLOOKUP(A82,Sayfa1!$A$1:$S$531,12,0)</f>
        <v>#N/A</v>
      </c>
    </row>
    <row r="84" spans="1:5">
      <c r="A84" s="6">
        <v>3.3E-3</v>
      </c>
      <c r="B84" s="21"/>
      <c r="D84" t="e">
        <f>VLOOKUP(A83,Sayfa1!$A$1:$S$531,12,0)</f>
        <v>#N/A</v>
      </c>
    </row>
    <row r="85" spans="1:5">
      <c r="A85" s="4"/>
      <c r="B85" s="21">
        <v>2.3400000000000001E-2</v>
      </c>
      <c r="D85" t="e">
        <f>VLOOKUP(A84,Sayfa1!$A$1:$S$531,12,0)</f>
        <v>#N/A</v>
      </c>
    </row>
    <row r="86" spans="1:5">
      <c r="A86" s="4" t="s">
        <v>216</v>
      </c>
      <c r="B86" s="21"/>
      <c r="D86" t="e">
        <f>VLOOKUP(A85,Sayfa1!$A$1:$S$531,12,0)</f>
        <v>#N/A</v>
      </c>
    </row>
    <row r="87" spans="1:5">
      <c r="A87" s="5">
        <v>0.43002314814814818</v>
      </c>
      <c r="B87" s="21"/>
      <c r="D87" t="str">
        <f>VLOOKUP(A86,Sayfa1!$A$1:$S$531,12,0)</f>
        <v>1,03</v>
      </c>
      <c r="E87">
        <f t="shared" si="1"/>
        <v>2.4102000000000002E-2</v>
      </c>
    </row>
    <row r="88" spans="1:5">
      <c r="A88" s="4">
        <v>47.38</v>
      </c>
      <c r="B88" s="21"/>
      <c r="D88" t="e">
        <f>VLOOKUP(A87,Sayfa1!$A$1:$S$531,12,0)</f>
        <v>#N/A</v>
      </c>
    </row>
    <row r="89" spans="1:5">
      <c r="A89" s="6">
        <v>-4.0000000000000002E-4</v>
      </c>
      <c r="B89" s="21"/>
      <c r="D89" t="e">
        <f>VLOOKUP(A88,Sayfa1!$A$1:$S$531,12,0)</f>
        <v>#N/A</v>
      </c>
    </row>
    <row r="90" spans="1:5">
      <c r="A90" s="4"/>
      <c r="B90" s="21">
        <v>2.2599999999999999E-2</v>
      </c>
      <c r="D90" t="e">
        <f>VLOOKUP(A89,Sayfa1!$A$1:$S$531,12,0)</f>
        <v>#N/A</v>
      </c>
    </row>
    <row r="91" spans="1:5">
      <c r="A91" s="4" t="s">
        <v>247</v>
      </c>
      <c r="B91" s="21"/>
      <c r="D91" t="e">
        <f>VLOOKUP(A90,Sayfa1!$A$1:$S$531,12,0)</f>
        <v>#N/A</v>
      </c>
    </row>
    <row r="92" spans="1:5">
      <c r="A92" s="5">
        <v>0.43093749999999997</v>
      </c>
      <c r="B92" s="21"/>
      <c r="D92" t="str">
        <f>VLOOKUP(A91,Sayfa1!$A$1:$S$531,12,0)</f>
        <v>-4,50</v>
      </c>
      <c r="E92">
        <f t="shared" si="1"/>
        <v>-0.1017</v>
      </c>
    </row>
    <row r="93" spans="1:5">
      <c r="A93" s="4">
        <v>34.82</v>
      </c>
      <c r="B93" s="21"/>
      <c r="D93" t="e">
        <f>VLOOKUP(A92,Sayfa1!$A$1:$S$531,12,0)</f>
        <v>#N/A</v>
      </c>
    </row>
    <row r="94" spans="1:5">
      <c r="A94" s="6">
        <v>9.2999999999999992E-3</v>
      </c>
      <c r="B94" s="21"/>
      <c r="D94" t="e">
        <f>VLOOKUP(A93,Sayfa1!$A$1:$S$531,12,0)</f>
        <v>#N/A</v>
      </c>
    </row>
    <row r="95" spans="1:5">
      <c r="A95" s="4"/>
      <c r="B95" s="21">
        <v>2.1999999999999999E-2</v>
      </c>
      <c r="D95" t="e">
        <f>VLOOKUP(A94,Sayfa1!$A$1:$S$531,12,0)</f>
        <v>#N/A</v>
      </c>
    </row>
    <row r="96" spans="1:5">
      <c r="A96" s="4" t="s">
        <v>220</v>
      </c>
      <c r="B96" s="21"/>
      <c r="D96" t="e">
        <f>VLOOKUP(A95,Sayfa1!$A$1:$S$531,12,0)</f>
        <v>#N/A</v>
      </c>
    </row>
    <row r="97" spans="1:5">
      <c r="A97" s="5">
        <v>0.43093749999999997</v>
      </c>
      <c r="B97" s="21"/>
      <c r="D97" t="str">
        <f>VLOOKUP(A96,Sayfa1!$A$1:$S$531,12,0)</f>
        <v>3,39</v>
      </c>
      <c r="E97">
        <f t="shared" si="1"/>
        <v>7.4579999999999994E-2</v>
      </c>
    </row>
    <row r="98" spans="1:5">
      <c r="A98" s="4">
        <v>44.24</v>
      </c>
      <c r="B98" s="21"/>
      <c r="D98" t="e">
        <f>VLOOKUP(A97,Sayfa1!$A$1:$S$531,12,0)</f>
        <v>#N/A</v>
      </c>
    </row>
    <row r="99" spans="1:5">
      <c r="A99" s="6">
        <v>-1.47E-2</v>
      </c>
      <c r="B99" s="21"/>
      <c r="D99" t="e">
        <f>VLOOKUP(A98,Sayfa1!$A$1:$S$531,12,0)</f>
        <v>#N/A</v>
      </c>
    </row>
    <row r="100" spans="1:5">
      <c r="A100" s="4"/>
      <c r="B100" s="21">
        <v>2.0799999999999999E-2</v>
      </c>
      <c r="D100" t="e">
        <f>VLOOKUP(A99,Sayfa1!$A$1:$S$531,12,0)</f>
        <v>#N/A</v>
      </c>
    </row>
    <row r="101" spans="1:5">
      <c r="A101" s="4" t="s">
        <v>456</v>
      </c>
      <c r="B101" s="21"/>
      <c r="D101" t="e">
        <f>VLOOKUP(A100,Sayfa1!$A$1:$S$531,12,0)</f>
        <v>#N/A</v>
      </c>
    </row>
    <row r="102" spans="1:5">
      <c r="A102" s="5">
        <v>0.43030092592592589</v>
      </c>
      <c r="B102" s="21"/>
      <c r="D102" t="str">
        <f>VLOOKUP(A101,Sayfa1!$A$1:$S$531,12,0)</f>
        <v>2,67</v>
      </c>
      <c r="E102">
        <f t="shared" si="1"/>
        <v>5.5535999999999995E-2</v>
      </c>
    </row>
    <row r="103" spans="1:5">
      <c r="A103" s="4">
        <v>100.2</v>
      </c>
      <c r="B103" s="21"/>
      <c r="D103" t="e">
        <f>VLOOKUP(A102,Sayfa1!$A$1:$S$531,12,0)</f>
        <v>#N/A</v>
      </c>
    </row>
    <row r="104" spans="1:5">
      <c r="A104" s="6">
        <v>1.1599999999999999E-2</v>
      </c>
      <c r="B104" s="21"/>
      <c r="D104" t="e">
        <f>VLOOKUP(A103,Sayfa1!$A$1:$S$531,12,0)</f>
        <v>#N/A</v>
      </c>
    </row>
    <row r="105" spans="1:5">
      <c r="A105" s="4"/>
      <c r="B105" s="21">
        <v>2.0400000000000001E-2</v>
      </c>
      <c r="D105" t="e">
        <f>VLOOKUP(A104,Sayfa1!$A$1:$S$531,12,0)</f>
        <v>#N/A</v>
      </c>
    </row>
    <row r="106" spans="1:5">
      <c r="A106" s="4" t="s">
        <v>67</v>
      </c>
      <c r="B106" s="21"/>
      <c r="D106" t="e">
        <f>VLOOKUP(A105,Sayfa1!$A$1:$S$531,12,0)</f>
        <v>#N/A</v>
      </c>
    </row>
    <row r="107" spans="1:5">
      <c r="A107" s="5">
        <v>0.43093749999999997</v>
      </c>
      <c r="B107" s="21"/>
      <c r="D107" t="str">
        <f>VLOOKUP(A106,Sayfa1!$A$1:$S$531,12,0)</f>
        <v>-3,96</v>
      </c>
      <c r="E107">
        <f t="shared" si="1"/>
        <v>-8.0784000000000009E-2</v>
      </c>
    </row>
    <row r="108" spans="1:5">
      <c r="A108" s="4">
        <v>98.35</v>
      </c>
      <c r="B108" s="21"/>
      <c r="D108" t="e">
        <f>VLOOKUP(A107,Sayfa1!$A$1:$S$531,12,0)</f>
        <v>#N/A</v>
      </c>
    </row>
    <row r="109" spans="1:5">
      <c r="A109" s="6">
        <v>-2.5000000000000001E-3</v>
      </c>
      <c r="B109" s="21"/>
      <c r="D109" t="e">
        <f>VLOOKUP(A108,Sayfa1!$A$1:$S$531,12,0)</f>
        <v>#N/A</v>
      </c>
    </row>
    <row r="110" spans="1:5">
      <c r="A110" s="4"/>
      <c r="B110" s="21">
        <v>1.9699999999999999E-2</v>
      </c>
      <c r="D110" t="e">
        <f>VLOOKUP(A109,Sayfa1!$A$1:$S$531,12,0)</f>
        <v>#N/A</v>
      </c>
    </row>
    <row r="111" spans="1:5">
      <c r="A111" s="4" t="s">
        <v>231</v>
      </c>
      <c r="B111" s="21"/>
      <c r="D111" t="e">
        <f>VLOOKUP(A110,Sayfa1!$A$1:$S$531,12,0)</f>
        <v>#N/A</v>
      </c>
    </row>
    <row r="112" spans="1:5">
      <c r="A112" s="5">
        <v>0.43091435185185184</v>
      </c>
      <c r="B112" s="21"/>
      <c r="D112" t="str">
        <f>VLOOKUP(A111,Sayfa1!$A$1:$S$531,12,0)</f>
        <v>-4,65</v>
      </c>
      <c r="E112">
        <f t="shared" si="1"/>
        <v>-9.1605000000000006E-2</v>
      </c>
    </row>
    <row r="113" spans="1:5">
      <c r="A113" s="4">
        <v>22.78</v>
      </c>
      <c r="B113" s="21"/>
      <c r="D113" t="e">
        <f>VLOOKUP(A112,Sayfa1!$A$1:$S$531,12,0)</f>
        <v>#N/A</v>
      </c>
    </row>
    <row r="114" spans="1:5">
      <c r="A114" s="6">
        <v>3.5000000000000001E-3</v>
      </c>
      <c r="B114" s="21"/>
      <c r="D114" t="e">
        <f>VLOOKUP(A113,Sayfa1!$A$1:$S$531,12,0)</f>
        <v>#N/A</v>
      </c>
    </row>
    <row r="115" spans="1:5">
      <c r="A115" s="4"/>
      <c r="B115" s="21">
        <v>1.9099999999999999E-2</v>
      </c>
      <c r="D115" t="e">
        <f>VLOOKUP(A114,Sayfa1!$A$1:$S$531,12,0)</f>
        <v>#N/A</v>
      </c>
    </row>
    <row r="116" spans="1:5">
      <c r="A116" s="4" t="s">
        <v>54</v>
      </c>
      <c r="B116" s="21"/>
      <c r="D116" t="e">
        <f>VLOOKUP(A115,Sayfa1!$A$1:$S$531,12,0)</f>
        <v>#N/A</v>
      </c>
    </row>
    <row r="117" spans="1:5">
      <c r="A117" s="5">
        <v>0.4309027777777778</v>
      </c>
      <c r="B117" s="21"/>
      <c r="D117" t="str">
        <f>VLOOKUP(A116,Sayfa1!$A$1:$S$531,12,0)</f>
        <v>-2,85</v>
      </c>
      <c r="E117">
        <f t="shared" si="1"/>
        <v>-5.4434999999999997E-2</v>
      </c>
    </row>
    <row r="118" spans="1:5">
      <c r="A118" s="4">
        <v>40.479999999999997</v>
      </c>
      <c r="B118" s="21"/>
      <c r="D118" t="e">
        <f>VLOOKUP(A117,Sayfa1!$A$1:$S$531,12,0)</f>
        <v>#N/A</v>
      </c>
    </row>
    <row r="119" spans="1:5">
      <c r="A119" s="6">
        <v>6.0000000000000001E-3</v>
      </c>
      <c r="B119" s="21"/>
      <c r="D119" t="e">
        <f>VLOOKUP(A118,Sayfa1!$A$1:$S$531,12,0)</f>
        <v>#N/A</v>
      </c>
    </row>
    <row r="120" spans="1:5">
      <c r="A120" s="4"/>
      <c r="B120" s="21">
        <v>1.7000000000000001E-2</v>
      </c>
      <c r="D120" t="e">
        <f>VLOOKUP(A119,Sayfa1!$A$1:$S$531,12,0)</f>
        <v>#N/A</v>
      </c>
    </row>
    <row r="121" spans="1:5">
      <c r="A121" s="4" t="s">
        <v>52</v>
      </c>
      <c r="B121" s="21"/>
      <c r="D121" t="e">
        <f>VLOOKUP(A120,Sayfa1!$A$1:$S$531,12,0)</f>
        <v>#N/A</v>
      </c>
    </row>
    <row r="122" spans="1:5">
      <c r="A122" s="5">
        <v>0.43086805555555552</v>
      </c>
      <c r="B122" s="21"/>
      <c r="D122" t="str">
        <f>VLOOKUP(A121,Sayfa1!$A$1:$S$531,12,0)</f>
        <v>-0,11</v>
      </c>
      <c r="E122">
        <f t="shared" si="1"/>
        <v>-1.8700000000000001E-3</v>
      </c>
    </row>
    <row r="123" spans="1:5">
      <c r="A123" s="4">
        <v>9.0399999999999991</v>
      </c>
      <c r="B123" s="21"/>
      <c r="D123" t="e">
        <f>VLOOKUP(A122,Sayfa1!$A$1:$S$531,12,0)</f>
        <v>#N/A</v>
      </c>
    </row>
    <row r="124" spans="1:5">
      <c r="A124" s="6">
        <v>5.5999999999999999E-3</v>
      </c>
      <c r="B124" s="21"/>
      <c r="D124" t="e">
        <f>VLOOKUP(A123,Sayfa1!$A$1:$S$531,12,0)</f>
        <v>#N/A</v>
      </c>
    </row>
    <row r="125" spans="1:5">
      <c r="A125" s="4"/>
      <c r="B125" s="21">
        <v>1.6899999999999998E-2</v>
      </c>
      <c r="D125" t="e">
        <f>VLOOKUP(A124,Sayfa1!$A$1:$S$531,12,0)</f>
        <v>#N/A</v>
      </c>
    </row>
    <row r="126" spans="1:5">
      <c r="A126" s="4" t="s">
        <v>186</v>
      </c>
      <c r="B126" s="21"/>
      <c r="D126" t="e">
        <f>VLOOKUP(A125,Sayfa1!$A$1:$S$531,12,0)</f>
        <v>#N/A</v>
      </c>
    </row>
    <row r="127" spans="1:5">
      <c r="A127" s="5">
        <v>0.43091435185185184</v>
      </c>
      <c r="B127" s="21"/>
      <c r="D127" t="str">
        <f>VLOOKUP(A126,Sayfa1!$A$1:$S$531,12,0)</f>
        <v>-2,88</v>
      </c>
      <c r="E127">
        <f t="shared" si="1"/>
        <v>-4.8671999999999993E-2</v>
      </c>
    </row>
    <row r="128" spans="1:5">
      <c r="A128" s="4">
        <v>100.9</v>
      </c>
      <c r="B128" s="21"/>
      <c r="D128" t="e">
        <f>VLOOKUP(A127,Sayfa1!$A$1:$S$531,12,0)</f>
        <v>#N/A</v>
      </c>
    </row>
    <row r="129" spans="1:5">
      <c r="A129" s="6">
        <v>-1.2699999999999999E-2</v>
      </c>
      <c r="B129" s="21"/>
      <c r="D129" t="e">
        <f>VLOOKUP(A128,Sayfa1!$A$1:$S$531,12,0)</f>
        <v>#N/A</v>
      </c>
    </row>
    <row r="130" spans="1:5">
      <c r="A130" s="4"/>
      <c r="B130" s="21">
        <v>1.6299999999999999E-2</v>
      </c>
      <c r="D130" t="e">
        <f>VLOOKUP(A129,Sayfa1!$A$1:$S$531,12,0)</f>
        <v>#N/A</v>
      </c>
    </row>
    <row r="131" spans="1:5">
      <c r="A131" s="4" t="s">
        <v>337</v>
      </c>
      <c r="B131" s="21"/>
      <c r="D131" t="e">
        <f>VLOOKUP(A130,Sayfa1!$A$1:$S$531,12,0)</f>
        <v>#N/A</v>
      </c>
    </row>
    <row r="132" spans="1:5">
      <c r="A132" s="5">
        <v>0.43079861111111112</v>
      </c>
      <c r="B132" s="21"/>
      <c r="D132" t="str">
        <f>VLOOKUP(A131,Sayfa1!$A$1:$S$531,12,0)</f>
        <v>-2,41</v>
      </c>
      <c r="E132">
        <f t="shared" si="1"/>
        <v>-3.9282999999999998E-2</v>
      </c>
    </row>
    <row r="133" spans="1:5">
      <c r="A133" s="4">
        <v>29.92</v>
      </c>
      <c r="B133" s="21"/>
      <c r="D133" t="e">
        <f>VLOOKUP(A132,Sayfa1!$A$1:$S$531,12,0)</f>
        <v>#N/A</v>
      </c>
    </row>
    <row r="134" spans="1:5">
      <c r="A134" s="6">
        <v>-8.6E-3</v>
      </c>
      <c r="B134" s="21"/>
      <c r="D134" t="e">
        <f>VLOOKUP(A133,Sayfa1!$A$1:$S$531,12,0)</f>
        <v>#N/A</v>
      </c>
    </row>
    <row r="135" spans="1:5">
      <c r="A135" s="4"/>
      <c r="B135" s="21">
        <v>1.4E-2</v>
      </c>
      <c r="D135" t="e">
        <f>VLOOKUP(A134,Sayfa1!$A$1:$S$531,12,0)</f>
        <v>#N/A</v>
      </c>
    </row>
    <row r="136" spans="1:5">
      <c r="A136" s="4" t="s">
        <v>43</v>
      </c>
      <c r="B136" s="21"/>
      <c r="D136" t="e">
        <f>VLOOKUP(A135,Sayfa1!$A$1:$S$531,12,0)</f>
        <v>#N/A</v>
      </c>
    </row>
    <row r="137" spans="1:5">
      <c r="A137" s="5">
        <v>0.43078703703703702</v>
      </c>
      <c r="B137" s="21"/>
      <c r="D137" t="str">
        <f>VLOOKUP(A136,Sayfa1!$A$1:$S$531,12,0)</f>
        <v>-1,27</v>
      </c>
      <c r="E137">
        <f t="shared" ref="E137:E157" si="2">(D137*B135)</f>
        <v>-1.7780000000000001E-2</v>
      </c>
    </row>
    <row r="138" spans="1:5">
      <c r="A138" s="4">
        <v>57.05</v>
      </c>
      <c r="B138" s="21"/>
      <c r="D138" t="e">
        <f>VLOOKUP(A137,Sayfa1!$A$1:$S$531,12,0)</f>
        <v>#N/A</v>
      </c>
    </row>
    <row r="139" spans="1:5">
      <c r="A139" s="6">
        <v>5.3E-3</v>
      </c>
      <c r="B139" s="21"/>
      <c r="D139" t="e">
        <f>VLOOKUP(A138,Sayfa1!$A$1:$S$531,12,0)</f>
        <v>#N/A</v>
      </c>
    </row>
    <row r="140" spans="1:5">
      <c r="A140" s="4"/>
      <c r="B140" s="21">
        <v>1.38E-2</v>
      </c>
      <c r="D140" t="e">
        <f>VLOOKUP(A139,Sayfa1!$A$1:$S$531,12,0)</f>
        <v>#N/A</v>
      </c>
    </row>
    <row r="141" spans="1:5">
      <c r="A141" s="4" t="s">
        <v>209</v>
      </c>
      <c r="B141" s="21"/>
      <c r="D141" t="e">
        <f>VLOOKUP(A140,Sayfa1!$A$1:$S$531,12,0)</f>
        <v>#N/A</v>
      </c>
    </row>
    <row r="142" spans="1:5">
      <c r="A142" s="5">
        <v>0.43093749999999997</v>
      </c>
      <c r="B142" s="21"/>
      <c r="D142" t="str">
        <f>VLOOKUP(A141,Sayfa1!$A$1:$S$531,12,0)</f>
        <v>-1,92</v>
      </c>
      <c r="E142">
        <f t="shared" si="2"/>
        <v>-2.6495999999999999E-2</v>
      </c>
    </row>
    <row r="143" spans="1:5">
      <c r="A143" s="4">
        <v>313.75</v>
      </c>
      <c r="B143" s="21"/>
      <c r="D143" t="e">
        <f>VLOOKUP(A142,Sayfa1!$A$1:$S$531,12,0)</f>
        <v>#N/A</v>
      </c>
    </row>
    <row r="144" spans="1:5">
      <c r="A144" s="6">
        <v>-4.0000000000000001E-3</v>
      </c>
      <c r="B144" s="21"/>
      <c r="D144" t="e">
        <f>VLOOKUP(A143,Sayfa1!$A$1:$S$531,12,0)</f>
        <v>#N/A</v>
      </c>
    </row>
    <row r="145" spans="1:5">
      <c r="A145" s="4"/>
      <c r="B145" s="21">
        <v>9.4000000000000004E-3</v>
      </c>
      <c r="D145" t="e">
        <f>VLOOKUP(A144,Sayfa1!$A$1:$S$531,12,0)</f>
        <v>#N/A</v>
      </c>
    </row>
    <row r="146" spans="1:5">
      <c r="A146" s="4" t="s">
        <v>267</v>
      </c>
      <c r="B146" s="21"/>
      <c r="D146" t="e">
        <f>VLOOKUP(A145,Sayfa1!$A$1:$S$531,12,0)</f>
        <v>#N/A</v>
      </c>
    </row>
    <row r="147" spans="1:5">
      <c r="A147" s="5">
        <v>0.43072916666666666</v>
      </c>
      <c r="B147" s="21"/>
      <c r="D147" t="str">
        <f>VLOOKUP(A146,Sayfa1!$A$1:$S$531,12,0)</f>
        <v>2,97</v>
      </c>
      <c r="E147">
        <f t="shared" si="2"/>
        <v>2.7918000000000002E-2</v>
      </c>
    </row>
    <row r="148" spans="1:5">
      <c r="A148" s="4">
        <v>13.62</v>
      </c>
      <c r="B148" s="21"/>
      <c r="D148" t="e">
        <f>VLOOKUP(A147,Sayfa1!$A$1:$S$531,12,0)</f>
        <v>#N/A</v>
      </c>
    </row>
    <row r="149" spans="1:5">
      <c r="A149" s="6">
        <v>8.8999999999999999E-3</v>
      </c>
      <c r="B149" s="21"/>
      <c r="D149" t="e">
        <f>VLOOKUP(A148,Sayfa1!$A$1:$S$531,12,0)</f>
        <v>#N/A</v>
      </c>
    </row>
    <row r="150" spans="1:5">
      <c r="A150" s="4"/>
      <c r="B150" s="21">
        <v>8.6E-3</v>
      </c>
      <c r="D150" t="e">
        <f>VLOOKUP(A149,Sayfa1!$A$1:$S$531,12,0)</f>
        <v>#N/A</v>
      </c>
    </row>
    <row r="151" spans="1:5">
      <c r="A151" s="4" t="s">
        <v>124</v>
      </c>
      <c r="B151" s="21"/>
      <c r="D151" t="e">
        <f>VLOOKUP(A150,Sayfa1!$A$1:$S$531,12,0)</f>
        <v>#N/A</v>
      </c>
    </row>
    <row r="152" spans="1:5">
      <c r="A152" s="5">
        <v>0.43091435185185184</v>
      </c>
      <c r="B152" s="21"/>
      <c r="D152" t="str">
        <f>VLOOKUP(A151,Sayfa1!$A$1:$S$531,12,0)</f>
        <v>1,05</v>
      </c>
      <c r="E152">
        <f t="shared" si="2"/>
        <v>9.0299999999999998E-3</v>
      </c>
    </row>
    <row r="153" spans="1:5">
      <c r="A153" s="4">
        <v>29.9</v>
      </c>
      <c r="B153" s="21"/>
      <c r="D153" t="e">
        <f>VLOOKUP(A152,Sayfa1!$A$1:$S$531,12,0)</f>
        <v>#N/A</v>
      </c>
    </row>
    <row r="154" spans="1:5">
      <c r="A154" s="6">
        <v>0</v>
      </c>
      <c r="B154" s="21"/>
      <c r="D154" t="e">
        <f>VLOOKUP(A153,Sayfa1!$A$1:$S$531,12,0)</f>
        <v>#N/A</v>
      </c>
    </row>
    <row r="155" spans="1:5">
      <c r="A155" s="4"/>
      <c r="B155" s="21">
        <v>7.3000000000000001E-3</v>
      </c>
      <c r="D155" t="e">
        <f>VLOOKUP(A154,Sayfa1!$A$1:$S$531,12,0)</f>
        <v>#N/A</v>
      </c>
    </row>
    <row r="156" spans="1:5">
      <c r="A156" s="4" t="s">
        <v>14</v>
      </c>
      <c r="B156" s="21"/>
      <c r="D156" t="e">
        <f>VLOOKUP(A155,Sayfa1!$A$1:$S$531,12,0)</f>
        <v>#N/A</v>
      </c>
    </row>
    <row r="157" spans="1:5">
      <c r="A157" s="5">
        <v>0.43093749999999997</v>
      </c>
      <c r="B157" s="21"/>
      <c r="D157" t="str">
        <f>VLOOKUP(A156,Sayfa1!$A$1:$S$531,12,0)</f>
        <v>-1,99</v>
      </c>
      <c r="E157">
        <f t="shared" si="2"/>
        <v>-1.4527E-2</v>
      </c>
    </row>
    <row r="158" spans="1:5">
      <c r="A158" s="4">
        <v>60.05</v>
      </c>
      <c r="B158" s="21"/>
      <c r="D158" t="e">
        <f>VLOOKUP(A157,Sayfa1!$A$1:$S$531,12,0)</f>
        <v>#N/A</v>
      </c>
    </row>
    <row r="159" spans="1:5">
      <c r="A159" s="6">
        <v>0</v>
      </c>
      <c r="B159" s="21"/>
      <c r="D159" t="e">
        <f>VLOOKUP(A158,Sayfa1!$A$1:$S$531,12,0)</f>
        <v>#N/A</v>
      </c>
    </row>
  </sheetData>
  <customSheetViews>
    <customSheetView guid="{02FE90F7-7852-43AF-A2AC-9192597C7D66}">
      <pageMargins left="0.7" right="0.7" top="0.75" bottom="0.75" header="0.3" footer="0.3"/>
    </customSheetView>
    <customSheetView guid="{05B5E080-9ABA-4416-B4A2-DFCA001314B3}">
      <selection activeCell="M19" sqref="M19"/>
      <pageMargins left="0.7" right="0.7" top="0.75" bottom="0.75" header="0.3" footer="0.3"/>
    </customSheetView>
  </customSheetViews>
  <mergeCells count="31">
    <mergeCell ref="B5:B9"/>
    <mergeCell ref="B10:B14"/>
    <mergeCell ref="B15:B19"/>
    <mergeCell ref="B20:B24"/>
    <mergeCell ref="B50:B54"/>
    <mergeCell ref="B25:B29"/>
    <mergeCell ref="B30:B34"/>
    <mergeCell ref="B35:B39"/>
    <mergeCell ref="B40:B44"/>
    <mergeCell ref="B45:B49"/>
    <mergeCell ref="B60:B64"/>
    <mergeCell ref="B65:B69"/>
    <mergeCell ref="B70:B74"/>
    <mergeCell ref="B75:B79"/>
    <mergeCell ref="B55:B59"/>
    <mergeCell ref="B140:B144"/>
    <mergeCell ref="B145:B149"/>
    <mergeCell ref="B150:B154"/>
    <mergeCell ref="B155:B159"/>
    <mergeCell ref="B80:B84"/>
    <mergeCell ref="B85:B89"/>
    <mergeCell ref="B90:B94"/>
    <mergeCell ref="B95:B99"/>
    <mergeCell ref="B100:B104"/>
    <mergeCell ref="B105:B109"/>
    <mergeCell ref="B120:B124"/>
    <mergeCell ref="B125:B129"/>
    <mergeCell ref="B130:B134"/>
    <mergeCell ref="B135:B139"/>
    <mergeCell ref="B110:B114"/>
    <mergeCell ref="B115:B1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DD7C6-C651-4BDB-B1BD-9B60944A5E64}">
  <dimension ref="A1:X5"/>
  <sheetViews>
    <sheetView workbookViewId="0">
      <selection activeCell="P13" sqref="P13"/>
    </sheetView>
  </sheetViews>
  <sheetFormatPr defaultRowHeight="15"/>
  <cols>
    <col min="1" max="2" width="11.140625" bestFit="1" customWidth="1"/>
    <col min="5" max="5" width="10.85546875" customWidth="1"/>
    <col min="9" max="9" width="12.140625" bestFit="1" customWidth="1"/>
    <col min="10" max="10" width="13" bestFit="1" customWidth="1"/>
    <col min="14" max="16" width="11.140625" bestFit="1" customWidth="1"/>
    <col min="23" max="23" width="13" bestFit="1" customWidth="1"/>
    <col min="24" max="24" width="11.5703125" bestFit="1" customWidth="1"/>
  </cols>
  <sheetData>
    <row r="1" spans="1:24" ht="17.25">
      <c r="A1" s="7" t="s">
        <v>1604</v>
      </c>
      <c r="B1" s="7" t="s">
        <v>1605</v>
      </c>
      <c r="C1" s="7" t="s">
        <v>1606</v>
      </c>
      <c r="D1" s="7" t="s">
        <v>1607</v>
      </c>
      <c r="E1" s="7" t="s">
        <v>1608</v>
      </c>
      <c r="F1" s="7" t="s">
        <v>571</v>
      </c>
      <c r="G1" s="7" t="s">
        <v>572</v>
      </c>
      <c r="H1" s="7" t="s">
        <v>1609</v>
      </c>
      <c r="I1" s="8"/>
      <c r="J1" s="8" t="s">
        <v>1610</v>
      </c>
      <c r="N1" s="7" t="s">
        <v>1604</v>
      </c>
      <c r="O1" s="7" t="s">
        <v>1605</v>
      </c>
      <c r="P1" s="7" t="s">
        <v>1606</v>
      </c>
      <c r="Q1" s="7" t="s">
        <v>1607</v>
      </c>
      <c r="R1" s="7" t="s">
        <v>1608</v>
      </c>
      <c r="S1" s="7" t="s">
        <v>571</v>
      </c>
      <c r="T1" s="7" t="s">
        <v>572</v>
      </c>
      <c r="U1" s="7" t="s">
        <v>1609</v>
      </c>
      <c r="W1" s="7" t="s">
        <v>1610</v>
      </c>
    </row>
    <row r="2" spans="1:24" ht="26.25">
      <c r="A2" s="9">
        <v>45446</v>
      </c>
      <c r="B2" s="9">
        <v>45448</v>
      </c>
      <c r="C2" s="7" t="s">
        <v>67</v>
      </c>
      <c r="D2" s="7">
        <v>108.6</v>
      </c>
      <c r="E2" s="7" t="str">
        <f>VLOOKUP(C2,Sayfa1!A1:T534,2,0)</f>
        <v>104,30</v>
      </c>
      <c r="F2" s="19">
        <f>(E2/D2)-1</f>
        <v>-3.9594843462246732E-2</v>
      </c>
      <c r="G2" s="20">
        <v>0.39379999999999998</v>
      </c>
      <c r="H2" s="19">
        <f>PRODUCT(G2,F2)</f>
        <v>-1.5592449355432763E-2</v>
      </c>
      <c r="J2" s="22">
        <f>SUM(H2:H3)</f>
        <v>-1.1074188485867591E-2</v>
      </c>
      <c r="N2" s="9">
        <v>45446</v>
      </c>
      <c r="O2" s="9">
        <v>45448</v>
      </c>
      <c r="P2" s="7" t="s">
        <v>67</v>
      </c>
      <c r="Q2" s="7">
        <v>108.6</v>
      </c>
      <c r="R2" s="7" t="str">
        <f>VLOOKUP(C2,Sayfa1!A1:T534,2,0)</f>
        <v>104,30</v>
      </c>
      <c r="S2" s="18">
        <f>(R2/Q2)-1</f>
        <v>-3.9594843462246732E-2</v>
      </c>
      <c r="T2" s="11">
        <v>0.29680000000000001</v>
      </c>
      <c r="U2" s="19">
        <f>PRODUCT(T2,S2)</f>
        <v>-1.1751749539594829E-2</v>
      </c>
      <c r="V2" s="7"/>
      <c r="W2" s="16">
        <f>SUM(U2:U4)</f>
        <v>1.2273388000527668E-3</v>
      </c>
    </row>
    <row r="3" spans="1:24" ht="26.25">
      <c r="A3" s="9"/>
      <c r="B3" s="9"/>
      <c r="C3" s="7" t="s">
        <v>414</v>
      </c>
      <c r="D3" s="7">
        <v>80.5</v>
      </c>
      <c r="E3" s="7" t="str">
        <f>VLOOKUP(C3,Sayfa1!A1:T534,2,0)</f>
        <v>81,10</v>
      </c>
      <c r="F3" s="10">
        <f>(E3/D3)-1</f>
        <v>7.4534161490682482E-3</v>
      </c>
      <c r="G3" s="20">
        <v>0.60619999999999996</v>
      </c>
      <c r="H3" s="10">
        <f>PRODUCT(G3,F3)</f>
        <v>4.5182608695651721E-3</v>
      </c>
      <c r="I3" s="12"/>
      <c r="J3" s="23"/>
      <c r="N3" s="9"/>
      <c r="O3" s="9"/>
      <c r="P3" s="7" t="s">
        <v>414</v>
      </c>
      <c r="Q3" s="7">
        <v>80.5</v>
      </c>
      <c r="R3" s="7" t="str">
        <f>VLOOKUP(P3,Sayfa1!A1:T534,2,0)</f>
        <v>81,10</v>
      </c>
      <c r="S3" s="17">
        <f t="shared" ref="S3:S4" si="0">(R3/Q3)-1</f>
        <v>7.4534161490682482E-3</v>
      </c>
      <c r="T3" s="11">
        <v>0.43819999999999998</v>
      </c>
      <c r="U3" s="10">
        <f t="shared" ref="U3:U4" si="1">PRODUCT(T3,S3)</f>
        <v>3.2660869565217061E-3</v>
      </c>
      <c r="V3" s="7"/>
      <c r="W3" s="13"/>
    </row>
    <row r="4" spans="1:24" ht="26.25">
      <c r="A4" s="9"/>
      <c r="B4" s="9"/>
      <c r="C4" s="7"/>
      <c r="D4" s="7"/>
      <c r="E4" s="10"/>
      <c r="F4" s="11"/>
      <c r="G4" s="10"/>
      <c r="H4" s="8"/>
      <c r="I4" s="12"/>
      <c r="N4" s="14"/>
      <c r="O4" s="14"/>
      <c r="P4" s="7" t="s">
        <v>227</v>
      </c>
      <c r="Q4" s="14">
        <v>144.6</v>
      </c>
      <c r="R4" s="14" t="str">
        <f>VLOOKUP(P4,Sayfa1!A1:T534,2,0)</f>
        <v>149,90</v>
      </c>
      <c r="S4" s="17">
        <f t="shared" si="0"/>
        <v>3.6652835408022222E-2</v>
      </c>
      <c r="T4" s="15">
        <v>0.26500000000000001</v>
      </c>
      <c r="U4" s="10">
        <f t="shared" si="1"/>
        <v>9.7130013831258893E-3</v>
      </c>
      <c r="V4" s="14"/>
      <c r="W4" s="14"/>
    </row>
    <row r="5" spans="1:24" ht="15.75">
      <c r="O5" s="14"/>
      <c r="P5" s="14"/>
      <c r="Q5" s="14"/>
      <c r="R5" s="14"/>
      <c r="S5" s="14"/>
      <c r="T5" s="14"/>
      <c r="U5" s="14"/>
      <c r="V5" s="14"/>
      <c r="W5" s="14"/>
      <c r="X5" s="14"/>
    </row>
  </sheetData>
  <customSheetViews>
    <customSheetView guid="{05B5E080-9ABA-4416-B4A2-DFCA001314B3}">
      <selection activeCell="H5" sqref="H5"/>
      <pageMargins left="0.7" right="0.7" top="0.75" bottom="0.75" header="0.3" footer="0.3"/>
    </customSheetView>
  </customSheetViews>
  <mergeCells count="1">
    <mergeCell ref="J2:J3"/>
  </mergeCells>
  <conditionalFormatting sqref="J2 W2 F2:F3 H2:H3 S2:S4 U2:U4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webPublishItems count="1">
    <webPublishItem id="26626" divId="FiyatPenceresi_26626" sourceType="sheet" destinationFile="C:\Users\Bora\Downloads\FiyatPenceresi.htm" autoRepublish="1"/>
  </webPublishItems>
</worksheet>
</file>

<file path=xl/worksheets/wsSortMap1.xml><?xml version="1.0" encoding="utf-8"?>
<worksheetSortMap xmlns="http://schemas.microsoft.com/office/excel/2006/main">
  <rowSortMap ref="A2:XFD533" count="532">
    <row newVal="1" oldVal="253"/>
    <row newVal="2" oldVal="471"/>
    <row newVal="3" oldVal="140"/>
    <row newVal="4" oldVal="254"/>
    <row newVal="5" oldVal="496"/>
    <row newVal="6" oldVal="296"/>
    <row newVal="7" oldVal="153"/>
    <row newVal="8" oldVal="27"/>
    <row newVal="9" oldVal="326"/>
    <row newVal="10" oldVal="19"/>
    <row newVal="11" oldVal="356"/>
    <row newVal="12" oldVal="113"/>
    <row newVal="13" oldVal="494"/>
    <row newVal="14" oldVal="423"/>
    <row newVal="15" oldVal="96"/>
    <row newVal="16" oldVal="75"/>
    <row newVal="17" oldVal="54"/>
    <row newVal="18" oldVal="61"/>
    <row newVal="19" oldVal="500"/>
    <row newVal="20" oldVal="377"/>
    <row newVal="21" oldVal="248"/>
    <row newVal="22" oldVal="458"/>
    <row newVal="23" oldVal="419"/>
    <row newVal="24" oldVal="251"/>
    <row newVal="25" oldVal="169"/>
    <row newVal="26" oldVal="187"/>
    <row newVal="27" oldVal="2"/>
    <row newVal="28" oldVal="457"/>
    <row newVal="29" oldVal="67"/>
    <row newVal="30" oldVal="51"/>
    <row newVal="31" oldVal="249"/>
    <row newVal="32" oldVal="367"/>
    <row newVal="33" oldVal="381"/>
    <row newVal="34" oldVal="404"/>
    <row newVal="35" oldVal="463"/>
    <row newVal="36" oldVal="390"/>
    <row newVal="37" oldVal="477"/>
    <row newVal="38" oldVal="517"/>
    <row newVal="39" oldVal="112"/>
    <row newVal="40" oldVal="320"/>
    <row newVal="41" oldVal="418"/>
    <row newVal="42" oldVal="173"/>
    <row newVal="43" oldVal="230"/>
    <row newVal="44" oldVal="473"/>
    <row newVal="45" oldVal="405"/>
    <row newVal="46" oldVal="415"/>
    <row newVal="47" oldVal="333"/>
    <row newVal="48" oldVal="271"/>
    <row newVal="49" oldVal="449"/>
    <row newVal="50" oldVal="510"/>
    <row newVal="51" oldVal="383"/>
    <row newVal="52" oldVal="442"/>
    <row newVal="53" oldVal="369"/>
    <row newVal="54" oldVal="359"/>
    <row newVal="55" oldVal="478"/>
    <row newVal="56" oldVal="274"/>
    <row newVal="57" oldVal="373"/>
    <row newVal="58" oldVal="321"/>
    <row newVal="59" oldVal="115"/>
    <row newVal="60" oldVal="155"/>
    <row newVal="61" oldVal="283"/>
    <row newVal="62" oldVal="480"/>
    <row newVal="63" oldVal="177"/>
    <row newVal="64" oldVal="156"/>
    <row newVal="65" oldVal="268"/>
    <row newVal="66" oldVal="489"/>
    <row newVal="67" oldVal="121"/>
    <row newVal="68" oldVal="325"/>
    <row newVal="69" oldVal="313"/>
    <row newVal="70" oldVal="150"/>
    <row newVal="71" oldVal="139"/>
    <row newVal="72" oldVal="182"/>
    <row newVal="73" oldVal="408"/>
    <row newVal="74" oldVal="309"/>
    <row newVal="75" oldVal="401"/>
    <row newVal="76" oldVal="386"/>
    <row newVal="77" oldVal="379"/>
    <row newVal="78" oldVal="3"/>
    <row newVal="79" oldVal="522"/>
    <row newVal="80" oldVal="119"/>
    <row newVal="81" oldVal="203"/>
    <row newVal="82" oldVal="127"/>
    <row newVal="83" oldVal="327"/>
    <row newVal="84" oldVal="174"/>
    <row newVal="85" oldVal="506"/>
    <row newVal="86" oldVal="470"/>
    <row newVal="87" oldVal="68"/>
    <row newVal="88" oldVal="362"/>
    <row newVal="89" oldVal="389"/>
    <row newVal="90" oldVal="145"/>
    <row newVal="91" oldVal="209"/>
    <row newVal="92" oldVal="525"/>
    <row newVal="93" oldVal="117"/>
    <row newVal="94" oldVal="349"/>
    <row newVal="95" oldVal="56"/>
    <row newVal="96" oldVal="28"/>
    <row newVal="97" oldVal="170"/>
    <row newVal="98" oldVal="235"/>
    <row newVal="99" oldVal="294"/>
    <row newVal="100" oldVal="77"/>
    <row newVal="101" oldVal="132"/>
    <row newVal="102" oldVal="288"/>
    <row newVal="103" oldVal="497"/>
    <row newVal="104" oldVal="8"/>
    <row newVal="105" oldVal="392"/>
    <row newVal="106" oldVal="102"/>
    <row newVal="107" oldVal="179"/>
    <row newVal="108" oldVal="433"/>
    <row newVal="109" oldVal="144"/>
    <row newVal="110" oldVal="131"/>
    <row newVal="111" oldVal="323"/>
    <row newVal="112" oldVal="106"/>
    <row newVal="113" oldVal="100"/>
    <row newVal="114" oldVal="342"/>
    <row newVal="115" oldVal="95"/>
    <row newVal="116" oldVal="43"/>
    <row newVal="117" oldVal="407"/>
    <row newVal="118" oldVal="9"/>
    <row newVal="119" oldVal="393"/>
    <row newVal="120" oldVal="81"/>
    <row newVal="121" oldVal="184"/>
    <row newVal="122" oldVal="354"/>
    <row newVal="123" oldVal="292"/>
    <row newVal="124" oldVal="101"/>
    <row newVal="125" oldVal="65"/>
    <row newVal="126" oldVal="128"/>
    <row newVal="127" oldVal="66"/>
    <row newVal="128" oldVal="227"/>
    <row newVal="129" oldVal="336"/>
    <row newVal="130" oldVal="152"/>
    <row newVal="131" oldVal="434"/>
    <row newVal="132" oldVal="23"/>
    <row newVal="133" oldVal="190"/>
    <row newVal="134" oldVal="329"/>
    <row newVal="135" oldVal="459"/>
    <row newVal="136" oldVal="91"/>
    <row newVal="137" oldVal="515"/>
    <row newVal="138" oldVal="237"/>
    <row newVal="139" oldVal="92"/>
    <row newVal="140" oldVal="120"/>
    <row newVal="141" oldVal="225"/>
    <row newVal="142" oldVal="64"/>
    <row newVal="143" oldVal="509"/>
    <row newVal="144" oldVal="432"/>
    <row newVal="145" oldVal="103"/>
    <row newVal="146" oldVal="107"/>
    <row newVal="147" oldVal="403"/>
    <row newVal="148" oldVal="437"/>
    <row newVal="149" oldVal="465"/>
    <row newVal="150" oldVal="204"/>
    <row newVal="151" oldVal="270"/>
    <row newVal="152" oldVal="14"/>
    <row newVal="153" oldVal="502"/>
    <row newVal="154" oldVal="148"/>
    <row newVal="155" oldVal="363"/>
    <row newVal="156" oldVal="214"/>
    <row newVal="157" oldVal="234"/>
    <row newVal="158" oldVal="250"/>
    <row newVal="159" oldVal="196"/>
    <row newVal="160" oldVal="513"/>
    <row newVal="161" oldVal="357"/>
    <row newVal="162" oldVal="306"/>
    <row newVal="163" oldVal="195"/>
    <row newVal="164" oldVal="372"/>
    <row newVal="165" oldVal="79"/>
    <row newVal="166" oldVal="427"/>
    <row newVal="167" oldVal="198"/>
    <row newVal="168" oldVal="160"/>
    <row newVal="169" oldVal="32"/>
    <row newVal="170" oldVal="213"/>
    <row newVal="171" oldVal="1"/>
    <row newVal="172" oldVal="436"/>
    <row newVal="173" oldVal="282"/>
    <row newVal="174" oldVal="118"/>
    <row newVal="175" oldVal="30"/>
    <row newVal="176" oldVal="297"/>
    <row newVal="177" oldVal="264"/>
    <row newVal="178" oldVal="343"/>
    <row newVal="179" oldVal="314"/>
    <row newVal="180" oldVal="507"/>
    <row newVal="181" oldVal="200"/>
    <row newVal="182" oldVal="376"/>
    <row newVal="183" oldVal="316"/>
    <row newVal="184" oldVal="317"/>
    <row newVal="185" oldVal="340"/>
    <row newVal="186" oldVal="339"/>
    <row newVal="187" oldVal="197"/>
    <row newVal="188" oldVal="391"/>
    <row newVal="189" oldVal="410"/>
    <row newVal="190" oldVal="69"/>
    <row newVal="191" oldVal="275"/>
    <row newVal="192" oldVal="519"/>
    <row newVal="193" oldVal="287"/>
    <row newVal="194" oldVal="263"/>
    <row newVal="195" oldVal="305"/>
    <row newVal="196" oldVal="312"/>
    <row newVal="197" oldVal="365"/>
    <row newVal="198" oldVal="52"/>
    <row newVal="199" oldVal="137"/>
    <row newVal="200" oldVal="63"/>
    <row newVal="201" oldVal="360"/>
    <row newVal="202" oldVal="134"/>
    <row newVal="203" oldVal="22"/>
    <row newVal="204" oldVal="176"/>
    <row newVal="205" oldVal="20"/>
    <row newVal="206" oldVal="98"/>
    <row newVal="207" oldVal="192"/>
    <row newVal="208" oldVal="36"/>
    <row newVal="209" oldVal="431"/>
    <row newVal="210" oldVal="5"/>
    <row newVal="211" oldVal="424"/>
    <row newVal="212" oldVal="482"/>
    <row newVal="213" oldVal="258"/>
    <row newVal="214" oldVal="223"/>
    <row newVal="215" oldVal="461"/>
    <row newVal="216" oldVal="303"/>
    <row newVal="217" oldVal="443"/>
    <row newVal="218" oldVal="455"/>
    <row newVal="219" oldVal="501"/>
    <row newVal="220" oldVal="202"/>
    <row newVal="221" oldVal="428"/>
    <row newVal="222" oldVal="358"/>
    <row newVal="223" oldVal="151"/>
    <row newVal="224" oldVal="172"/>
    <row newVal="225" oldVal="278"/>
    <row newVal="226" oldVal="520"/>
    <row newVal="227" oldVal="411"/>
    <row newVal="228" oldVal="142"/>
    <row newVal="229" oldVal="110"/>
    <row newVal="230" oldVal="44"/>
    <row newVal="231" oldVal="406"/>
    <row newVal="232" oldVal="462"/>
    <row newVal="233" oldVal="130"/>
    <row newVal="234" oldVal="11"/>
    <row newVal="235" oldVal="147"/>
    <row newVal="236" oldVal="291"/>
    <row newVal="237" oldVal="439"/>
    <row newVal="238" oldVal="518"/>
    <row newVal="239" oldVal="493"/>
    <row newVal="240" oldVal="413"/>
    <row newVal="241" oldVal="180"/>
    <row newVal="242" oldVal="207"/>
    <row newVal="243" oldVal="161"/>
    <row newVal="244" oldVal="422"/>
    <row newVal="245" oldVal="215"/>
    <row newVal="246" oldVal="451"/>
    <row newVal="247" oldVal="135"/>
    <row newVal="248" oldVal="60"/>
    <row newVal="249" oldVal="39"/>
    <row newVal="250" oldVal="162"/>
    <row newVal="251" oldVal="76"/>
    <row newVal="252" oldVal="479"/>
    <row newVal="253" oldVal="212"/>
    <row newVal="254" oldVal="448"/>
    <row newVal="255" oldVal="346"/>
    <row newVal="256" oldVal="328"/>
    <row newVal="257" oldVal="55"/>
    <row newVal="258" oldVal="441"/>
    <row newVal="259" oldVal="50"/>
    <row newVal="260" oldVal="307"/>
    <row newVal="261" oldVal="154"/>
    <row newVal="262" oldVal="88"/>
    <row newVal="263" oldVal="83"/>
    <row newVal="264" oldVal="526"/>
    <row newVal="265" oldVal="382"/>
    <row newVal="266" oldVal="62"/>
    <row newVal="267" oldVal="277"/>
    <row newVal="268" oldVal="45"/>
    <row newVal="269" oldVal="129"/>
    <row newVal="270" oldVal="302"/>
    <row newVal="271" oldVal="298"/>
    <row newVal="272" oldVal="332"/>
    <row newVal="273" oldVal="163"/>
    <row newVal="274" oldVal="53"/>
    <row newVal="275" oldVal="105"/>
    <row newVal="276" oldVal="37"/>
    <row newVal="277" oldVal="388"/>
    <row newVal="278" oldVal="205"/>
    <row newVal="279" oldVal="508"/>
    <row newVal="280" oldVal="476"/>
    <row newVal="281" oldVal="220"/>
    <row newVal="282" oldVal="464"/>
    <row newVal="283" oldVal="78"/>
    <row newVal="284" oldVal="97"/>
    <row newVal="285" oldVal="256"/>
    <row newVal="286" oldVal="84"/>
    <row newVal="287" oldVal="272"/>
    <row newVal="288" oldVal="247"/>
    <row newVal="289" oldVal="285"/>
    <row newVal="290" oldVal="438"/>
    <row newVal="291" oldVal="318"/>
    <row newVal="292" oldVal="348"/>
    <row newVal="293" oldVal="319"/>
    <row newVal="294" oldVal="300"/>
    <row newVal="295" oldVal="25"/>
    <row newVal="296" oldVal="280"/>
    <row newVal="297" oldVal="123"/>
    <row newVal="298" oldVal="171"/>
    <row newVal="299" oldVal="15"/>
    <row newVal="300" oldVal="521"/>
    <row newVal="301" oldVal="527"/>
    <row newVal="302" oldVal="412"/>
    <row newVal="303" oldVal="531"/>
    <row newVal="304" oldVal="241"/>
    <row newVal="305" oldVal="491"/>
    <row newVal="306" oldVal="353"/>
    <row newVal="307" oldVal="498"/>
    <row newVal="308" oldVal="420"/>
    <row newVal="309" oldVal="524"/>
    <row newVal="310" oldVal="49"/>
    <row newVal="311" oldVal="337"/>
    <row newVal="312" oldVal="216"/>
    <row newVal="313" oldVal="290"/>
    <row newVal="314" oldVal="523"/>
    <row newVal="315" oldVal="273"/>
    <row newVal="316" oldVal="299"/>
    <row newVal="317" oldVal="324"/>
    <row newVal="318" oldVal="72"/>
    <row newVal="319" oldVal="397"/>
    <row newVal="320" oldVal="355"/>
    <row newVal="321" oldVal="24"/>
    <row newVal="322" oldVal="488"/>
    <row newVal="323" oldVal="487"/>
    <row newVal="324" oldVal="450"/>
    <row newVal="325" oldVal="469"/>
    <row newVal="326" oldVal="492"/>
    <row newVal="327" oldVal="456"/>
    <row newVal="328" oldVal="158"/>
    <row newVal="329" oldVal="530"/>
    <row newVal="330" oldVal="165"/>
    <row newVal="331" oldVal="224"/>
    <row newVal="332" oldVal="429"/>
    <row newVal="333" oldVal="378"/>
    <row newVal="334" oldVal="483"/>
    <row newVal="335" oldVal="281"/>
    <row newVal="336" oldVal="361"/>
    <row newVal="337" oldVal="516"/>
    <row newVal="338" oldVal="210"/>
    <row newVal="339" oldVal="70"/>
    <row newVal="340" oldVal="191"/>
    <row newVal="341" oldVal="394"/>
    <row newVal="342" oldVal="341"/>
    <row newVal="343" oldVal="286"/>
    <row newVal="344" oldVal="266"/>
    <row newVal="345" oldVal="499"/>
    <row newVal="346" oldVal="252"/>
    <row newVal="347" oldVal="466"/>
    <row newVal="348" oldVal="211"/>
    <row newVal="349" oldVal="445"/>
    <row newVal="350" oldVal="71"/>
    <row newVal="351" oldVal="532"/>
    <row newVal="352" oldVal="122"/>
    <row newVal="353" oldVal="308"/>
    <row newVal="354" oldVal="267"/>
    <row newVal="355" oldVal="231"/>
    <row newVal="356" oldVal="6"/>
    <row newVal="357" oldVal="29"/>
    <row newVal="358" oldVal="40"/>
    <row newVal="359" oldVal="426"/>
    <row newVal="360" oldVal="475"/>
    <row newVal="361" oldVal="149"/>
    <row newVal="362" oldVal="351"/>
    <row newVal="363" oldVal="495"/>
    <row newVal="364" oldVal="136"/>
    <row newVal="365" oldVal="425"/>
    <row newVal="366" oldVal="460"/>
    <row newVal="367" oldVal="399"/>
    <row newVal="368" oldVal="175"/>
    <row newVal="369" oldVal="481"/>
    <row newVal="370" oldVal="146"/>
    <row newVal="371" oldVal="201"/>
    <row newVal="372" oldVal="421"/>
    <row newVal="373" oldVal="74"/>
    <row newVal="374" oldVal="284"/>
    <row newVal="375" oldVal="218"/>
    <row newVal="376" oldVal="387"/>
    <row newVal="377" oldVal="338"/>
    <row newVal="378" oldVal="289"/>
    <row newVal="379" oldVal="89"/>
    <row newVal="380" oldVal="186"/>
    <row newVal="381" oldVal="335"/>
    <row newVal="382" oldVal="440"/>
    <row newVal="383" oldVal="183"/>
    <row newVal="384" oldVal="166"/>
    <row newVal="385" oldVal="138"/>
    <row newVal="386" oldVal="194"/>
    <row newVal="387" oldVal="311"/>
    <row newVal="388" oldVal="116"/>
    <row newVal="389" oldVal="486"/>
    <row newVal="390" oldVal="226"/>
    <row newVal="391" oldVal="228"/>
    <row newVal="392" oldVal="244"/>
    <row newVal="393" oldVal="240"/>
    <row newVal="394" oldVal="446"/>
    <row newVal="395" oldVal="474"/>
    <row newVal="396" oldVal="435"/>
    <row newVal="397" oldVal="242"/>
    <row newVal="398" oldVal="232"/>
    <row newVal="399" oldVal="472"/>
    <row newVal="400" oldVal="384"/>
    <row newVal="401" oldVal="87"/>
    <row newVal="402" oldVal="46"/>
    <row newVal="403" oldVal="490"/>
    <row newVal="404" oldVal="315"/>
    <row newVal="405" oldVal="279"/>
    <row newVal="406" oldVal="452"/>
    <row newVal="407" oldVal="409"/>
    <row newVal="408" oldVal="157"/>
    <row newVal="409" oldVal="368"/>
    <row newVal="410" oldVal="331"/>
    <row newVal="411" oldVal="38"/>
    <row newVal="412" oldVal="41"/>
    <row newVal="413" oldVal="94"/>
    <row newVal="414" oldVal="93"/>
    <row newVal="415" oldVal="350"/>
    <row newVal="416" oldVal="59"/>
    <row newVal="417" oldVal="512"/>
    <row newVal="418" oldVal="33"/>
    <row newVal="419" oldVal="159"/>
    <row newVal="420" oldVal="370"/>
    <row newVal="421" oldVal="167"/>
    <row newVal="422" oldVal="108"/>
    <row newVal="423" oldVal="26"/>
    <row newVal="424" oldVal="467"/>
    <row newVal="425" oldVal="304"/>
    <row newVal="426" oldVal="168"/>
    <row newVal="427" oldVal="447"/>
    <row newVal="428" oldVal="143"/>
    <row newVal="429" oldVal="453"/>
    <row newVal="430" oldVal="417"/>
    <row newVal="431" oldVal="504"/>
    <row newVal="432" oldVal="364"/>
    <row newVal="433" oldVal="35"/>
    <row newVal="434" oldVal="185"/>
    <row newVal="435" oldVal="181"/>
    <row newVal="436" oldVal="366"/>
    <row newVal="437" oldVal="86"/>
    <row newVal="438" oldVal="206"/>
    <row newVal="439" oldVal="85"/>
    <row newVal="440" oldVal="295"/>
    <row newVal="441" oldVal="222"/>
    <row newVal="442" oldVal="485"/>
    <row newVal="443" oldVal="347"/>
    <row newVal="444" oldVal="219"/>
    <row newVal="445" oldVal="260"/>
    <row newVal="446" oldVal="48"/>
    <row newVal="447" oldVal="57"/>
    <row newVal="448" oldVal="511"/>
    <row newVal="449" oldVal="414"/>
    <row newVal="450" oldVal="380"/>
    <row newVal="451" oldVal="259"/>
    <row newVal="452" oldVal="31"/>
    <row newVal="453" oldVal="255"/>
    <row newVal="454" oldVal="257"/>
    <row newVal="455" oldVal="416"/>
    <row newVal="456" oldVal="301"/>
    <row newVal="457" oldVal="322"/>
    <row newVal="458" oldVal="395"/>
    <row newVal="459" oldVal="199"/>
    <row newVal="460" oldVal="7"/>
    <row newVal="461" oldVal="238"/>
    <row newVal="462" oldVal="124"/>
    <row newVal="463" oldVal="529"/>
    <row newVal="464" oldVal="430"/>
    <row newVal="465" oldVal="111"/>
    <row newVal="466" oldVal="114"/>
    <row newVal="467" oldVal="374"/>
    <row newVal="468" oldVal="17"/>
    <row newVal="469" oldVal="178"/>
    <row newVal="470" oldVal="334"/>
    <row newVal="471" oldVal="276"/>
    <row newVal="472" oldVal="4"/>
    <row newVal="473" oldVal="34"/>
    <row newVal="474" oldVal="189"/>
    <row newVal="475" oldVal="47"/>
    <row newVal="476" oldVal="82"/>
    <row newVal="477" oldVal="375"/>
    <row newVal="478" oldVal="229"/>
    <row newVal="479" oldVal="21"/>
    <row newVal="480" oldVal="109"/>
    <row newVal="481" oldVal="99"/>
    <row newVal="482" oldVal="245"/>
    <row newVal="483" oldVal="402"/>
    <row newVal="484" oldVal="164"/>
    <row newVal="485" oldVal="126"/>
    <row newVal="486" oldVal="42"/>
    <row newVal="487" oldVal="90"/>
    <row newVal="488" oldVal="528"/>
    <row newVal="489" oldVal="444"/>
    <row newVal="490" oldVal="246"/>
    <row newVal="491" oldVal="239"/>
    <row newVal="492" oldVal="352"/>
    <row newVal="493" oldVal="484"/>
    <row newVal="494" oldVal="503"/>
    <row newVal="495" oldVal="221"/>
    <row newVal="496" oldVal="505"/>
    <row newVal="497" oldVal="293"/>
    <row newVal="498" oldVal="514"/>
    <row newVal="499" oldVal="400"/>
    <row newVal="500" oldVal="193"/>
    <row newVal="501" oldVal="104"/>
    <row newVal="502" oldVal="58"/>
    <row newVal="503" oldVal="208"/>
    <row newVal="504" oldVal="188"/>
    <row newVal="505" oldVal="468"/>
    <row newVal="506" oldVal="233"/>
    <row newVal="507" oldVal="454"/>
    <row newVal="508" oldVal="385"/>
    <row newVal="509" oldVal="345"/>
    <row newVal="510" oldVal="133"/>
    <row newVal="511" oldVal="125"/>
    <row newVal="512" oldVal="269"/>
    <row newVal="513" oldVal="16"/>
    <row newVal="514" oldVal="13"/>
    <row newVal="515" oldVal="398"/>
    <row newVal="516" oldVal="396"/>
    <row newVal="517" oldVal="310"/>
    <row newVal="518" oldVal="262"/>
    <row newVal="519" oldVal="12"/>
    <row newVal="520" oldVal="371"/>
    <row newVal="521" oldVal="217"/>
    <row newVal="522" oldVal="18"/>
    <row newVal="523" oldVal="141"/>
    <row newVal="524" oldVal="80"/>
    <row newVal="525" oldVal="73"/>
    <row newVal="526" oldVal="330"/>
    <row newVal="527" oldVal="344"/>
    <row newVal="528" oldVal="243"/>
    <row newVal="529" oldVal="10"/>
    <row newVal="530" oldVal="236"/>
    <row newVal="531" oldVal="261"/>
    <row newVal="532" oldVal="265"/>
  </rowSortMap>
</worksheetSortMap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2880B6A-AE38-4443-995A-DDA3301F066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3</vt:i4>
      </vt:variant>
    </vt:vector>
  </HeadingPairs>
  <TitlesOfParts>
    <vt:vector size="3" baseType="lpstr">
      <vt:lpstr>Sayfa1</vt:lpstr>
      <vt:lpstr>Sayfa3</vt:lpstr>
      <vt:lpstr>Sayfa4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Bora Kaya</cp:lastModifiedBy>
  <dcterms:created xsi:type="dcterms:W3CDTF">2015-12-09T06:41:26Z</dcterms:created>
  <dcterms:modified xsi:type="dcterms:W3CDTF">2024-06-04T18:43:30Z</dcterms:modified>
</cp:coreProperties>
</file>